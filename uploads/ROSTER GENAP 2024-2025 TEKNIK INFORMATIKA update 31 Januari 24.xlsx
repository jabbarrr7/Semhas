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11\Documents\proposal saya\"/>
    </mc:Choice>
  </mc:AlternateContent>
  <xr:revisionPtr revIDLastSave="0" documentId="13_ncr:1_{ABF6C298-1437-466F-92D7-019ECE3F2809}" xr6:coauthVersionLast="47" xr6:coauthVersionMax="47" xr10:uidLastSave="{00000000-0000-0000-0000-000000000000}"/>
  <bookViews>
    <workbookView xWindow="-98" yWindow="-98" windowWidth="21795" windowHeight="13695" tabRatio="500" activeTab="2" xr2:uid="{00000000-000D-0000-FFFF-FFFF00000000}"/>
  </bookViews>
  <sheets>
    <sheet name="KURIKULUM KMMB SIA" sheetId="1" r:id="rId1"/>
    <sheet name="Sebaran Dosen dan MK" sheetId="2" r:id="rId2"/>
    <sheet name="ROSTER GENAP 2024-2025" sheetId="3" r:id="rId3"/>
  </sheets>
  <definedNames>
    <definedName name="_xlnm.Print_Area" localSheetId="2">'ROSTER GENAP 2024-2025'!$A$1:$Q$177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3" i="1" l="1"/>
  <c r="E136" i="1"/>
  <c r="F135" i="1"/>
  <c r="E122" i="1"/>
  <c r="E120" i="1"/>
  <c r="E113" i="1"/>
  <c r="F108" i="1"/>
  <c r="F102" i="1"/>
  <c r="F103" i="1" s="1"/>
  <c r="E95" i="1"/>
  <c r="F84" i="1"/>
  <c r="E76" i="1"/>
  <c r="E57" i="1"/>
  <c r="E44" i="1"/>
  <c r="E31" i="1"/>
  <c r="E17" i="1"/>
</calcChain>
</file>

<file path=xl/sharedStrings.xml><?xml version="1.0" encoding="utf-8"?>
<sst xmlns="http://schemas.openxmlformats.org/spreadsheetml/2006/main" count="1618" uniqueCount="369">
  <si>
    <t>KURIKULUM KAMPUS MERDEKA PROGRAM STUDI TEKNIK INFORMATIKA</t>
  </si>
  <si>
    <t>FAKULTAS TEKNIK UNIVERSITAS MALIKUSSALEH</t>
  </si>
  <si>
    <t xml:space="preserve">Semester I </t>
  </si>
  <si>
    <t>No</t>
  </si>
  <si>
    <t>Kode MK</t>
  </si>
  <si>
    <t>Mata Kuliah</t>
  </si>
  <si>
    <t>SKS</t>
  </si>
  <si>
    <t>Prasyarat</t>
  </si>
  <si>
    <t>MKU0112</t>
  </si>
  <si>
    <t>PENDIDIKAN AGAMA</t>
  </si>
  <si>
    <t>MKU0212</t>
  </si>
  <si>
    <t xml:space="preserve">PENDIDIKAN PANCASILA </t>
  </si>
  <si>
    <t>MKU0411</t>
  </si>
  <si>
    <t>BAHASA INDONESIA</t>
  </si>
  <si>
    <t>MKU0612</t>
  </si>
  <si>
    <t>TEKNOLOGI INFORMASI DAN KEWIRAUSAHAAN</t>
  </si>
  <si>
    <t>TIF0112</t>
  </si>
  <si>
    <t xml:space="preserve">BAHASA INGGRIS </t>
  </si>
  <si>
    <t>TIF0213</t>
  </si>
  <si>
    <t xml:space="preserve">KALKULUS </t>
  </si>
  <si>
    <t>TIF0313</t>
  </si>
  <si>
    <t>ALJABAR LINIER ELEMENTER</t>
  </si>
  <si>
    <t>TIF0413</t>
  </si>
  <si>
    <t>ALGORITMA DAN PEMOGRAMAN I</t>
  </si>
  <si>
    <t>TIF0512</t>
  </si>
  <si>
    <t>APLIKASI PERKANTORAN</t>
  </si>
  <si>
    <t>Jumlah</t>
  </si>
  <si>
    <t>Semester II</t>
  </si>
  <si>
    <t>Kode</t>
  </si>
  <si>
    <t xml:space="preserve">MK Prasyarat </t>
  </si>
  <si>
    <t>MKU0322</t>
  </si>
  <si>
    <t>KEWARGANEGARAAN</t>
  </si>
  <si>
    <t>MKU0521</t>
  </si>
  <si>
    <t>KEMALIKUSSALEHAN</t>
  </si>
  <si>
    <t>TIF0623</t>
  </si>
  <si>
    <t xml:space="preserve">ORGANISASI DAN ARSITEKTUR KOMPUTER </t>
  </si>
  <si>
    <t>TIF0722</t>
  </si>
  <si>
    <t>LOGIKA INFORMATIKA</t>
  </si>
  <si>
    <t>TIF0823</t>
  </si>
  <si>
    <t>STATISTIKA DAN PROBABILITAS</t>
  </si>
  <si>
    <t>TIF0923</t>
  </si>
  <si>
    <t>DASAR DIGITAL</t>
  </si>
  <si>
    <t>TIF1023</t>
  </si>
  <si>
    <t>ALGORITMA DAN PEMOGRAMAN II</t>
  </si>
  <si>
    <t>TIF1123</t>
  </si>
  <si>
    <t>SISTEM OPERASI</t>
  </si>
  <si>
    <t xml:space="preserve">Semester III </t>
  </si>
  <si>
    <t>MK Prasyarat</t>
  </si>
  <si>
    <t>TIF1233</t>
  </si>
  <si>
    <t xml:space="preserve">MATEMATIKA DISKRIT </t>
  </si>
  <si>
    <t>TIF1333</t>
  </si>
  <si>
    <t>TEKNO ENTERPRENEUR</t>
  </si>
  <si>
    <t>TIF1433</t>
  </si>
  <si>
    <t>INTERAKSI MANUSIA DAN KOMPUTER</t>
  </si>
  <si>
    <t>TIF1532</t>
  </si>
  <si>
    <t xml:space="preserve">INTRO TO TOEFL AND WRITING </t>
  </si>
  <si>
    <t>TIF1633</t>
  </si>
  <si>
    <t xml:space="preserve">ANALISIS DAN PERANCANGAN SISTEM INFORMASI </t>
  </si>
  <si>
    <t>TIF0413, TIF1023</t>
  </si>
  <si>
    <t>TIF1733</t>
  </si>
  <si>
    <t>PEMOGRAMAN VISUAL</t>
  </si>
  <si>
    <t>TIF1833</t>
  </si>
  <si>
    <t>STRUKTUR DATA</t>
  </si>
  <si>
    <t>Semester IV</t>
  </si>
  <si>
    <t>TIF1943</t>
  </si>
  <si>
    <t>DESAIN DAN ANALISIS ALGORITMA</t>
  </si>
  <si>
    <t>TIF2043</t>
  </si>
  <si>
    <t>METODE NUMERIK</t>
  </si>
  <si>
    <t>TIF2142</t>
  </si>
  <si>
    <t xml:space="preserve">ETIKA PROFESI </t>
  </si>
  <si>
    <t>TIF2243</t>
  </si>
  <si>
    <t>SISTEM MANAJEMEN DATABASE</t>
  </si>
  <si>
    <t>TIF1633, TIF1833</t>
  </si>
  <si>
    <t>TIF2343</t>
  </si>
  <si>
    <t>JARINGAN KOMPUTER</t>
  </si>
  <si>
    <t>TIF2443</t>
  </si>
  <si>
    <t>GRAFIKA KOMPUTER</t>
  </si>
  <si>
    <t>TIF2543</t>
  </si>
  <si>
    <t>PEMOGRAMAN WEB</t>
  </si>
  <si>
    <t xml:space="preserve">Semester V </t>
  </si>
  <si>
    <t>TIF2653</t>
  </si>
  <si>
    <t>KECERDASAN BUATAN</t>
  </si>
  <si>
    <t>TIF1943, TIF2043</t>
  </si>
  <si>
    <t>TIF2753</t>
  </si>
  <si>
    <t xml:space="preserve">REKAYASA PERANGKAT LUNAK </t>
  </si>
  <si>
    <t>TIF2853</t>
  </si>
  <si>
    <t>JARINGAN KOMPUTER LANJUT</t>
  </si>
  <si>
    <t>TIF2953</t>
  </si>
  <si>
    <t>PEMOGRAMAN BERORIENTASI OBJEK</t>
  </si>
  <si>
    <t xml:space="preserve"> TIF1733</t>
  </si>
  <si>
    <t>TIF3053</t>
  </si>
  <si>
    <t>KERJA PRAKTEK</t>
  </si>
  <si>
    <t>80 SKS</t>
  </si>
  <si>
    <t>PEMINATAN STUDI: KOMPUTASI CERDAS DAN MULTIMEDIA</t>
  </si>
  <si>
    <t>TIF4253</t>
  </si>
  <si>
    <t xml:space="preserve">ANIMASI DAN DESAIN GRAFIS </t>
  </si>
  <si>
    <t>TIF4353</t>
  </si>
  <si>
    <t>PENGOLAHAN SUARA</t>
  </si>
  <si>
    <t>PEMINATAN STUDI: KEAMANAN SISTEM DAN JARINGAN KOMPUTER</t>
  </si>
  <si>
    <t>TIF4453</t>
  </si>
  <si>
    <t>DATABASE TERDISTRIBUSI</t>
  </si>
  <si>
    <t>TIF4553</t>
  </si>
  <si>
    <t>KRIPTOGRAFI</t>
  </si>
  <si>
    <t>Semester VI</t>
  </si>
  <si>
    <t>TIF3162</t>
  </si>
  <si>
    <t>METODOLOGI PENELITIAN DAN PENULISAN ILMIAH</t>
  </si>
  <si>
    <t>TIF3263</t>
  </si>
  <si>
    <t>SISTEM PENGAMBILAN KEPUTUSAN</t>
  </si>
  <si>
    <t>TIF3363</t>
  </si>
  <si>
    <t>DATA MINING</t>
  </si>
  <si>
    <t>TIF1633, TIF2043</t>
  </si>
  <si>
    <t>TIF3463</t>
  </si>
  <si>
    <t>INTERPRETASI PENGOLAHAN CITRA</t>
  </si>
  <si>
    <t>TIF3563</t>
  </si>
  <si>
    <t xml:space="preserve">SISTEM INFORMASI GEOGRAFIS </t>
  </si>
  <si>
    <t>PEMINATAN STUDI : KOMPUTASI CERDAS DAN MULTIMEDIA</t>
  </si>
  <si>
    <t>TIF4663</t>
  </si>
  <si>
    <t>KECERDASAN KOMPUTASIONAL</t>
  </si>
  <si>
    <t>TIF4763</t>
  </si>
  <si>
    <t>GAME DEVELOPMENT</t>
  </si>
  <si>
    <t>TIF4253, TIF2653</t>
  </si>
  <si>
    <t>PEMINATAN STUDI : KEAMANAN SISTEM DAN JARINGAN KOMPUTER</t>
  </si>
  <si>
    <t>TIF4863</t>
  </si>
  <si>
    <t>ETICAL HACKING</t>
  </si>
  <si>
    <t>TIF4453, TIF4553</t>
  </si>
  <si>
    <t>TIF4963</t>
  </si>
  <si>
    <t>KEAMANAN DATABASE</t>
  </si>
  <si>
    <t xml:space="preserve">Semester VII </t>
  </si>
  <si>
    <t>TIF3673</t>
  </si>
  <si>
    <t>TEORI BAHASA DAN AUTOMATA</t>
  </si>
  <si>
    <t>TIF3773</t>
  </si>
  <si>
    <t>RISET TEKNOLOGI INFORMASI</t>
  </si>
  <si>
    <t>TIF3163</t>
  </si>
  <si>
    <t>TIF3873</t>
  </si>
  <si>
    <t>MOBILE PROGRAMING</t>
  </si>
  <si>
    <t>TIF3973</t>
  </si>
  <si>
    <t>PEMOGRAMAN LANJUT</t>
  </si>
  <si>
    <t>TIF4073</t>
  </si>
  <si>
    <t>KULIAH KERJA NYATA</t>
  </si>
  <si>
    <t xml:space="preserve">120 SKS </t>
  </si>
  <si>
    <t>TIF5073</t>
  </si>
  <si>
    <t>FORECASTING</t>
  </si>
  <si>
    <t>TIF0823, TIF4663</t>
  </si>
  <si>
    <t>TIF5173</t>
  </si>
  <si>
    <t xml:space="preserve">MACHINE LEARNING </t>
  </si>
  <si>
    <t>TIF5273</t>
  </si>
  <si>
    <t>INTERNET OF THINGS</t>
  </si>
  <si>
    <t>TIF4863, TIF4963</t>
  </si>
  <si>
    <t>Semester VIII</t>
  </si>
  <si>
    <t>TIF4186</t>
  </si>
  <si>
    <t>TUGAS AKHIR</t>
  </si>
  <si>
    <t>120 SKS</t>
  </si>
  <si>
    <t xml:space="preserve">Semester </t>
  </si>
  <si>
    <t>Jumlah SKS</t>
  </si>
  <si>
    <t>Semester</t>
  </si>
  <si>
    <t>Dosen 1</t>
  </si>
  <si>
    <t>Dosen 2</t>
  </si>
  <si>
    <t>Catatan:</t>
  </si>
  <si>
    <t>ORGANISASI DAN ARSITEKTUR KOMPUTER (A1)</t>
  </si>
  <si>
    <t>II</t>
  </si>
  <si>
    <t>Safwandi, S.T., M.Kom.</t>
  </si>
  <si>
    <t>Rizki Suwanda</t>
  </si>
  <si>
    <t>13 (9 sks di teknik industri, pemograman komputer)</t>
  </si>
  <si>
    <t>ORGANISASI DAN ARSITEKTUR KOMPUTER (A2)</t>
  </si>
  <si>
    <t>Said Fadlan</t>
  </si>
  <si>
    <t>10 (4 sks di SI, tata tulis ilmiah)</t>
  </si>
  <si>
    <t>ORGANISASI DAN ARSITEKTUR KOMPUTER (A3)</t>
  </si>
  <si>
    <t>Rozzi Kesuma Dinata, S.T., M.Eng.</t>
  </si>
  <si>
    <t>Sujacka Retno</t>
  </si>
  <si>
    <t>ORGANISASI DAN ARSITEKTUR KOMPUTER (A4)</t>
  </si>
  <si>
    <t>Cut Agusniar</t>
  </si>
  <si>
    <t>ORGANISASI DAN ARSITEKTUR KOMPUTER (A5)</t>
  </si>
  <si>
    <t>Nunsina, S.T., M.Kom.</t>
  </si>
  <si>
    <t>Zahratul Fitri</t>
  </si>
  <si>
    <t>ORGANISASI DAN ARSITEKTUR KOMPUTER (A6)</t>
  </si>
  <si>
    <t>Anni Zulfia, S.Pd., M.Kom.</t>
  </si>
  <si>
    <t>Lidya Rosnita</t>
  </si>
  <si>
    <t>LOGIKA INFORMATIKA (A1)</t>
  </si>
  <si>
    <t>Maryana, S.Si., M.Si.</t>
  </si>
  <si>
    <t>T. Sukma</t>
  </si>
  <si>
    <t>12 (3 sks di SI, teknologi multimedia)</t>
  </si>
  <si>
    <t>LOGIKA INFORMATIKA (A2)</t>
  </si>
  <si>
    <t>Anni Zulfia</t>
  </si>
  <si>
    <t>3 (3 sks di SI, 3 SKS di industri)</t>
  </si>
  <si>
    <t>LOGIKA INFORMATIKA (A3)</t>
  </si>
  <si>
    <t>Risawandi</t>
  </si>
  <si>
    <t>LOGIKA INFORMATIKA (A4)</t>
  </si>
  <si>
    <t>Dr. Fajriana</t>
  </si>
  <si>
    <t>LOGIKA INFORMATIKA (A5)</t>
  </si>
  <si>
    <t>Dr. Taufiq</t>
  </si>
  <si>
    <t>LOGIKA INFORMATIKA (A6)</t>
  </si>
  <si>
    <t>STATISTIKA DAN PROBABILITAS (A1)</t>
  </si>
  <si>
    <t>Munirul Ula, S.T., M.Eng., Ph.D.</t>
  </si>
  <si>
    <t>STATISTIKA DAN PROBABILITAS (A2)</t>
  </si>
  <si>
    <t>STATISTIKA DAN PROBABILITAS (A3)</t>
  </si>
  <si>
    <t>STATISTIKA DAN PROBABILITAS (A4)</t>
  </si>
  <si>
    <t>STATISTIKA DAN PROBABILITAS (A5)</t>
  </si>
  <si>
    <t>Said Fadlan Anshari, S.Kom., M.Kom.</t>
  </si>
  <si>
    <t>Rizki Suwanda, S.T., M.Kom.</t>
  </si>
  <si>
    <t>STATISTIKA DAN PROBABILITAS (A6)</t>
  </si>
  <si>
    <t>DASAR DIGITAL (A1)</t>
  </si>
  <si>
    <t>Eva Darnila, S.T., M.T.</t>
  </si>
  <si>
    <t>HAPUS JADWAL DAN RUANG</t>
  </si>
  <si>
    <t>DASAR DIGITAL (A2)</t>
  </si>
  <si>
    <t>DASAR DIGITAL (A3)</t>
  </si>
  <si>
    <t>DASAR DIGITAL (A4)</t>
  </si>
  <si>
    <t>DASAR DIGITAL (A5)</t>
  </si>
  <si>
    <t>DASAR DIGITAL (A6)</t>
  </si>
  <si>
    <t>DASAR DIGITAL (A7)</t>
  </si>
  <si>
    <t>ALGORITMA DAN PEMOGRAMAN II (A1)</t>
  </si>
  <si>
    <t>Dr. Eng. Defry Hamdhana, S.T., M.Kom.</t>
  </si>
  <si>
    <t>ALGORITMA DAN PEMOGRAMAN II (A2)</t>
  </si>
  <si>
    <t>ALGORITMA DAN PEMOGRAMAN II (A3)</t>
  </si>
  <si>
    <t>ALGORITMA DAN PEMOGRAMAN II (A4)</t>
  </si>
  <si>
    <t>Asrianda, S.Kom., M.Kom.</t>
  </si>
  <si>
    <t>ALGORITMA DAN PEMOGRAMAN II (A5)</t>
  </si>
  <si>
    <t>ALGORITMA DAN PEMOGRAMAN II (A6)</t>
  </si>
  <si>
    <t>Wahyu Fuadi, S.T., M.IT.</t>
  </si>
  <si>
    <t>ALGORITMA DAN PEMOGRAMAN II (A7)</t>
  </si>
  <si>
    <t>SISTEM OPERASI (A1)</t>
  </si>
  <si>
    <t>SISTEM OPERASI (A2)</t>
  </si>
  <si>
    <t>SISTEM OPERASI (A3)</t>
  </si>
  <si>
    <t>Zahratul Fitri, B.Sc., M.Kom.</t>
  </si>
  <si>
    <t>SISTEM OPERASI (A4)</t>
  </si>
  <si>
    <t>SISTEM OPERASI (A5)</t>
  </si>
  <si>
    <t>Hafizh Al Kautsar Aidilof, S.T., M.Kom.</t>
  </si>
  <si>
    <t>SISTEM OPERASI (A6)</t>
  </si>
  <si>
    <t>SISTEM OPERASI (A7)</t>
  </si>
  <si>
    <t>DESAIN DAN ANALISIS ALGORITMA (A1)</t>
  </si>
  <si>
    <t>IV</t>
  </si>
  <si>
    <t>Dr. Nurdin, S.Kom., M.Kom.</t>
  </si>
  <si>
    <t>DESAIN DAN ANALISIS ALGORITMA (A2)</t>
  </si>
  <si>
    <t>DESAIN DAN ANALISIS ALGORITMA (A3)</t>
  </si>
  <si>
    <t>DESAIN DAN ANALISIS ALGORITMA (A4)</t>
  </si>
  <si>
    <t>DESAIN DAN ANALISIS ALGORITMA (A5)</t>
  </si>
  <si>
    <t>Dr. Taufiq, S.T., M.T.</t>
  </si>
  <si>
    <t>METODE NUMERIK (A1)</t>
  </si>
  <si>
    <t>Bustami, S.Si., M.Si., M.Kom.</t>
  </si>
  <si>
    <t>METODE NUMERIK (A2)</t>
  </si>
  <si>
    <t>METODE NUMERIK (A3)</t>
  </si>
  <si>
    <t>METODE NUMERIK (A4)</t>
  </si>
  <si>
    <t>METODE NUMERIK (A5)</t>
  </si>
  <si>
    <t>Dr. Fajriana, S.Si., M.Si.</t>
  </si>
  <si>
    <t>ETIKA PROFESI (A1)</t>
  </si>
  <si>
    <t>Yesy Afrillia, S.T., M.Kom.</t>
  </si>
  <si>
    <t>ETIKA PROFESI (A2)</t>
  </si>
  <si>
    <t>ETIKA PROFESI (A3)</t>
  </si>
  <si>
    <t>ETIKA PROFESI (A4)</t>
  </si>
  <si>
    <t>ETIKA PROFESI (A5)</t>
  </si>
  <si>
    <t>SISTEM MANAJEMEN DATABASE (A1)</t>
  </si>
  <si>
    <t>Dr. Eng. Muhammad Fikry, S.Kom., M.Kom.</t>
  </si>
  <si>
    <t>SISTEM MANAJEMEN DATABASE (A2)</t>
  </si>
  <si>
    <t>SISTEM MANAJEMEN DATABASE (A3)</t>
  </si>
  <si>
    <t>SISTEM MANAJEMEN DATABASE (A5)</t>
  </si>
  <si>
    <t>Mukti Qamal, S.T., M.IT.</t>
  </si>
  <si>
    <t>SISTEM MANAJEMEN DATABASE (A6)</t>
  </si>
  <si>
    <t>JARINGAN KOMPUTER (A1)</t>
  </si>
  <si>
    <t>Rizal, S.Si., M.IT.</t>
  </si>
  <si>
    <t>JARINGAN KOMPUTER (A2)</t>
  </si>
  <si>
    <t>JARINGAN KOMPUTER (A3)</t>
  </si>
  <si>
    <t>JARINGAN KOMPUTER (A4)</t>
  </si>
  <si>
    <t>JARINGAN KOMPUTER (A5)</t>
  </si>
  <si>
    <t>Ar Razi, S.T., M.Cs.</t>
  </si>
  <si>
    <t>JARINGAN KOMPUTER (A6)</t>
  </si>
  <si>
    <t>GRAFIKA KOMPUTER (A1)</t>
  </si>
  <si>
    <t>Rini Meiyanti, S.T., M.Kom.</t>
  </si>
  <si>
    <t>GRAFIKA KOMPUTER (A2)</t>
  </si>
  <si>
    <t>GRAFIKA KOMPUTER (A3)</t>
  </si>
  <si>
    <t>GRAFIKA KOMPUTER (A4)</t>
  </si>
  <si>
    <t>GRAFIKA KOMPUTER (A5)</t>
  </si>
  <si>
    <t>GRAFIKA KOMPUTER (A6)</t>
  </si>
  <si>
    <t>PEMOGRAMAN WEB (A1)</t>
  </si>
  <si>
    <t>Zara Yunizar, S.Kom., M.Kom.</t>
  </si>
  <si>
    <t>PEMOGRAMAN WEB (A2)</t>
  </si>
  <si>
    <t>PEMOGRAMAN WEB (A3)</t>
  </si>
  <si>
    <t>PEMOGRAMAN WEB (A4)</t>
  </si>
  <si>
    <t>PEMOGRAMAN WEB (A5)</t>
  </si>
  <si>
    <t>PEMOGRAMAN WEB (A6)</t>
  </si>
  <si>
    <t>METODOLOGI PENELITIAN DAN PENULISAN ILMIAH (A1)</t>
  </si>
  <si>
    <t>VI</t>
  </si>
  <si>
    <t>METODOLOGI PENELITIAN DAN PENULISAN ILMIAH (A2)</t>
  </si>
  <si>
    <t>METODOLOGI PENELITIAN DAN PENULISAN ILMIAH (A3)</t>
  </si>
  <si>
    <t>Prof. Dr. Dahlan Abdullah, S.T., M.Kom., IPU, ASEAN Eng.</t>
  </si>
  <si>
    <t>METODOLOGI PENELITIAN DAN PENULISAN ILMIAH (A4)</t>
  </si>
  <si>
    <t>METODOLOGI PENELITIAN DAN PENULISAN ILMIAH (A5)</t>
  </si>
  <si>
    <t>METODOLOGI PENELITIAN DAN PENULISAN ILMIAH (A6)</t>
  </si>
  <si>
    <t>SISTEM PENGAMBILAN KEPUTUSAN (A1)</t>
  </si>
  <si>
    <t>Lidya Rosnita, S.T., M.Kom.</t>
  </si>
  <si>
    <t>SISTEM PENGAMBILAN KEPUTUSAN (A2)</t>
  </si>
  <si>
    <t>SISTEM PENGAMBILAN KEPUTUSAN (A3)</t>
  </si>
  <si>
    <t>SISTEM PENGAMBILAN KEPUTUSAN (A4)</t>
  </si>
  <si>
    <t>SISTEM PENGAMBILAN KEPUTUSAN (A5)</t>
  </si>
  <si>
    <t>DATA MINING (A1)</t>
  </si>
  <si>
    <t>DATA MINING (A2)</t>
  </si>
  <si>
    <t>DATA MINING (A3)</t>
  </si>
  <si>
    <t>DATA MINING (A4)</t>
  </si>
  <si>
    <t>DATA MINING (A5)</t>
  </si>
  <si>
    <t>INTERPRETASI PENGOLAHAN CITRA (A1)</t>
  </si>
  <si>
    <t>Fadlisyah, S.Si., M.T.</t>
  </si>
  <si>
    <t>INTERPRETASI PENGOLAHAN CITRA (A2)</t>
  </si>
  <si>
    <t>INTERPRETASI PENGOLAHAN CITRA (A3)</t>
  </si>
  <si>
    <t>INTERPRETASI PENGOLAHAN CITRA (A4)</t>
  </si>
  <si>
    <t>INTERPRETASI PENGOLAHAN CITRA (A5)</t>
  </si>
  <si>
    <t>Cut Agusniar, S.T., M.Cs.</t>
  </si>
  <si>
    <t>INTERPRETASI PENGOLAHAN CITRA (A6)</t>
  </si>
  <si>
    <t>SISTEM INFORMASI GEOGRAFIS (A1)</t>
  </si>
  <si>
    <t>SISTEM INFORMASI GEOGRAFIS (A2)</t>
  </si>
  <si>
    <t>SISTEM INFORMASI GEOGRAFIS (A3)</t>
  </si>
  <si>
    <t>Risawandi, S.T., M.Kom.</t>
  </si>
  <si>
    <t>SISTEM INFORMASI GEOGRAFIS (A4)</t>
  </si>
  <si>
    <t>SISTEM INFORMASI GEOGRAFIS (A5)</t>
  </si>
  <si>
    <t>SISTEM INFORMASI GEOGRAFIS (A6)</t>
  </si>
  <si>
    <t>KECERDASAN KOMPUTASIONAL (A1)</t>
  </si>
  <si>
    <t>KECERDASAN KOMPUTASIONAL (A2)</t>
  </si>
  <si>
    <t>KECERDASAN KOMPUTASIONAL (A3)</t>
  </si>
  <si>
    <t>KECERDASAN KOMPUTASIONAL (A4)</t>
  </si>
  <si>
    <t>GAME DEVELOPMENT (A1)</t>
  </si>
  <si>
    <t>Sujacka Retno, S.T., M.Kom.</t>
  </si>
  <si>
    <t>GAME DEVELOPMENT (A2)</t>
  </si>
  <si>
    <t>GAME DEVELOPMENT (A3)</t>
  </si>
  <si>
    <t>GAME DEVELOPMENT (A4)</t>
  </si>
  <si>
    <t>ETICAL HACKING (A2)</t>
  </si>
  <si>
    <t>T. Sukma Achriadi, S.Kom., M.Kom.</t>
  </si>
  <si>
    <t>KEAMANAN DATABASE (A1)</t>
  </si>
  <si>
    <t>JADWAL KULIAH SEMESTER GENAP TAHUN AKADEMIK 2024/2025</t>
  </si>
  <si>
    <t>PRODI TEKNIK INFORMATIKA UNIVERSITAS MALIKUSSALEH</t>
  </si>
  <si>
    <t>HARI</t>
  </si>
  <si>
    <t>WAKTU</t>
  </si>
  <si>
    <t>KODE MK</t>
  </si>
  <si>
    <t>MATA KULIAH</t>
  </si>
  <si>
    <t>SMTR</t>
  </si>
  <si>
    <t>GEDUNG TI</t>
  </si>
  <si>
    <t>LAB</t>
  </si>
  <si>
    <t>JALAN JAWA</t>
  </si>
  <si>
    <t>I</t>
  </si>
  <si>
    <t>III</t>
  </si>
  <si>
    <t>8A</t>
  </si>
  <si>
    <t>8B</t>
  </si>
  <si>
    <t>SENIN</t>
  </si>
  <si>
    <t>08.00 – 09.40</t>
  </si>
  <si>
    <t>√</t>
  </si>
  <si>
    <t>09.50 – 11.30</t>
  </si>
  <si>
    <t>11.40 – 13.20</t>
  </si>
  <si>
    <t>14.00 – 16.30</t>
  </si>
  <si>
    <t>14.00 - 16.30</t>
  </si>
  <si>
    <t>08.00 - 10.30</t>
  </si>
  <si>
    <t>10.40 - 13.10</t>
  </si>
  <si>
    <t>RUANG MTI (KAPASITAS 30 -36)</t>
  </si>
  <si>
    <t>10.40 – 12.20</t>
  </si>
  <si>
    <t>13.30 – 15.10</t>
  </si>
  <si>
    <t>15.20 – 17.00</t>
  </si>
  <si>
    <t>DOSEN</t>
  </si>
  <si>
    <t>RUANG LAIN</t>
  </si>
  <si>
    <t>SELASA</t>
  </si>
  <si>
    <t>09.40 – 11.20</t>
  </si>
  <si>
    <t>11.20 – 13.50</t>
  </si>
  <si>
    <t>RABU</t>
  </si>
  <si>
    <t>08.00 – 10.30</t>
  </si>
  <si>
    <t>10.40 – 13.10</t>
  </si>
  <si>
    <t>DARING</t>
  </si>
  <si>
    <t>KAMIS</t>
  </si>
  <si>
    <t>Kemalikussalehan</t>
  </si>
  <si>
    <t>11.20 – 13.00</t>
  </si>
  <si>
    <t>Kewarganegaraan</t>
  </si>
  <si>
    <t>JUM’AT</t>
  </si>
  <si>
    <t>08.30 - 11.00</t>
  </si>
  <si>
    <t>14.30 - 17.00</t>
  </si>
  <si>
    <t xml:space="preserve">DOSEN </t>
  </si>
  <si>
    <t>MTI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</si>
</sst>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b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D9D9D9"/>
        <bgColor rgb="FFC5E0B4"/>
      </patternFill>
    </fill>
    <fill>
      <patternFill patternType="solid">
        <fgColor rgb="FF81D41A"/>
        <bgColor rgb="FFE6E905"/>
      </patternFill>
    </fill>
    <fill>
      <patternFill patternType="solid">
        <fgColor rgb="FFEA7500"/>
        <bgColor rgb="FFFF9900"/>
      </patternFill>
    </fill>
    <fill>
      <patternFill patternType="solid">
        <fgColor rgb="FF5983B0"/>
        <bgColor rgb="FF808080"/>
      </patternFill>
    </fill>
    <fill>
      <patternFill patternType="solid">
        <fgColor rgb="FFBF819E"/>
        <bgColor rgb="FF808080"/>
      </patternFill>
    </fill>
    <fill>
      <patternFill patternType="solid">
        <fgColor rgb="FFE6E905"/>
        <bgColor rgb="FFFFFF00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FFFF00"/>
        <bgColor rgb="FFE6E905"/>
      </patternFill>
    </fill>
  </fills>
  <borders count="2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slantDashDot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slantDashDot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slantDashDot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</borders>
  <cellStyleXfs count="7">
    <xf numFmtId="0" fontId="0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</cellStyleXfs>
  <cellXfs count="208">
    <xf numFmtId="0" fontId="0" fillId="0" borderId="0" xfId="0"/>
    <xf numFmtId="0" fontId="5" fillId="7" borderId="13" xfId="2" applyFont="1" applyFill="1" applyBorder="1" applyAlignment="1" applyProtection="1">
      <alignment horizontal="center" vertical="center" readingOrder="1"/>
    </xf>
    <xf numFmtId="0" fontId="0" fillId="0" borderId="0" xfId="2" applyFont="1" applyBorder="1" applyAlignment="1" applyProtection="1">
      <alignment horizontal="center" vertical="center"/>
    </xf>
    <xf numFmtId="0" fontId="3" fillId="5" borderId="13" xfId="0" applyFont="1" applyFill="1" applyBorder="1" applyAlignment="1" applyProtection="1">
      <alignment horizontal="center" vertical="center"/>
    </xf>
    <xf numFmtId="0" fontId="3" fillId="7" borderId="13" xfId="0" applyFont="1" applyFill="1" applyBorder="1" applyAlignment="1" applyProtection="1">
      <alignment horizontal="center" vertical="center"/>
    </xf>
    <xf numFmtId="0" fontId="3" fillId="7" borderId="2" xfId="0" applyFont="1" applyFill="1" applyBorder="1" applyAlignment="1" applyProtection="1">
      <alignment horizontal="center" vertical="center"/>
    </xf>
    <xf numFmtId="0" fontId="3" fillId="5" borderId="8" xfId="0" applyFont="1" applyFill="1" applyBorder="1" applyAlignment="1" applyProtection="1">
      <alignment horizontal="center" vertical="center"/>
    </xf>
    <xf numFmtId="0" fontId="3" fillId="6" borderId="13" xfId="0" applyFont="1" applyFill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5" borderId="2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</xf>
    <xf numFmtId="0" fontId="3" fillId="5" borderId="7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2" fillId="0" borderId="0" xfId="0" applyFont="1" applyAlignment="1" applyProtection="1"/>
    <xf numFmtId="0" fontId="2" fillId="0" borderId="0" xfId="0" applyFont="1" applyAlignment="1" applyProtection="1">
      <alignment horizontal="center"/>
    </xf>
    <xf numFmtId="0" fontId="3" fillId="0" borderId="0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0" xfId="0" applyFont="1" applyAlignment="1" applyProtection="1"/>
    <xf numFmtId="0" fontId="3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0" fontId="2" fillId="3" borderId="3" xfId="0" applyFont="1" applyFill="1" applyBorder="1" applyAlignment="1" applyProtection="1">
      <alignment horizontal="center"/>
    </xf>
    <xf numFmtId="0" fontId="3" fillId="3" borderId="4" xfId="0" applyFont="1" applyFill="1" applyBorder="1" applyAlignment="1" applyProtection="1">
      <alignment horizontal="center"/>
    </xf>
    <xf numFmtId="0" fontId="2" fillId="3" borderId="5" xfId="0" applyFont="1" applyFill="1" applyBorder="1" applyAlignment="1" applyProtection="1">
      <alignment horizontal="left"/>
    </xf>
    <xf numFmtId="0" fontId="2" fillId="3" borderId="5" xfId="0" applyFont="1" applyFill="1" applyBorder="1" applyAlignment="1" applyProtection="1">
      <alignment horizontal="center" vertical="top" wrapText="1"/>
    </xf>
    <xf numFmtId="0" fontId="2" fillId="3" borderId="6" xfId="0" applyFont="1" applyFill="1" applyBorder="1" applyAlignment="1" applyProtection="1">
      <alignment horizontal="center"/>
    </xf>
    <xf numFmtId="0" fontId="3" fillId="3" borderId="4" xfId="0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left"/>
    </xf>
    <xf numFmtId="0" fontId="2" fillId="3" borderId="4" xfId="0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center" vertical="top" wrapText="1"/>
    </xf>
    <xf numFmtId="0" fontId="2" fillId="3" borderId="4" xfId="0" applyFont="1" applyFill="1" applyBorder="1" applyAlignment="1" applyProtection="1">
      <alignment horizontal="left" vertical="center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center" vertical="top" wrapText="1"/>
    </xf>
    <xf numFmtId="0" fontId="2" fillId="0" borderId="5" xfId="0" applyFont="1" applyBorder="1" applyAlignment="1" applyProtection="1">
      <alignment horizontal="center" vertical="top" wrapText="1"/>
    </xf>
    <xf numFmtId="0" fontId="2" fillId="0" borderId="3" xfId="0" applyFont="1" applyBorder="1" applyAlignment="1" applyProtection="1">
      <alignment horizontal="center"/>
    </xf>
    <xf numFmtId="0" fontId="2" fillId="0" borderId="5" xfId="0" applyFont="1" applyBorder="1" applyAlignment="1" applyProtection="1">
      <alignment horizontal="left"/>
    </xf>
    <xf numFmtId="0" fontId="2" fillId="0" borderId="5" xfId="0" applyFont="1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2" fillId="4" borderId="4" xfId="0" applyFont="1" applyFill="1" applyBorder="1" applyAlignment="1" applyProtection="1">
      <alignment horizontal="left" vertical="center"/>
    </xf>
    <xf numFmtId="0" fontId="2" fillId="4" borderId="4" xfId="0" applyFont="1" applyFill="1" applyBorder="1" applyAlignment="1" applyProtection="1">
      <alignment horizontal="center" vertical="center" wrapText="1"/>
    </xf>
    <xf numFmtId="0" fontId="2" fillId="4" borderId="6" xfId="0" applyFont="1" applyFill="1" applyBorder="1" applyAlignment="1" applyProtection="1">
      <alignment horizontal="center"/>
    </xf>
    <xf numFmtId="0" fontId="2" fillId="4" borderId="4" xfId="0" applyFont="1" applyFill="1" applyBorder="1" applyAlignment="1" applyProtection="1">
      <alignment horizontal="left"/>
    </xf>
    <xf numFmtId="0" fontId="2" fillId="4" borderId="4" xfId="0" applyFont="1" applyFill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3" fillId="5" borderId="8" xfId="0" applyFont="1" applyFill="1" applyBorder="1" applyAlignment="1" applyProtection="1">
      <alignment horizontal="center"/>
    </xf>
    <xf numFmtId="0" fontId="2" fillId="3" borderId="4" xfId="0" applyFont="1" applyFill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2" fillId="4" borderId="4" xfId="0" applyFont="1" applyFill="1" applyBorder="1" applyAlignment="1" applyProtection="1">
      <alignment horizontal="center"/>
    </xf>
    <xf numFmtId="0" fontId="3" fillId="2" borderId="8" xfId="0" applyFont="1" applyFill="1" applyBorder="1" applyAlignment="1" applyProtection="1">
      <alignment horizontal="center"/>
    </xf>
    <xf numFmtId="0" fontId="2" fillId="0" borderId="9" xfId="0" applyFont="1" applyBorder="1" applyAlignment="1" applyProtection="1">
      <alignment horizontal="left"/>
    </xf>
    <xf numFmtId="0" fontId="2" fillId="0" borderId="10" xfId="0" applyFont="1" applyBorder="1" applyAlignment="1" applyProtection="1">
      <alignment horizontal="left"/>
    </xf>
    <xf numFmtId="0" fontId="2" fillId="0" borderId="0" xfId="0" applyFont="1" applyBorder="1" applyAlignment="1" applyProtection="1"/>
    <xf numFmtId="0" fontId="2" fillId="0" borderId="11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left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center"/>
    </xf>
    <xf numFmtId="0" fontId="2" fillId="4" borderId="11" xfId="0" applyFont="1" applyFill="1" applyBorder="1" applyAlignment="1" applyProtection="1">
      <alignment horizontal="center" vertical="center"/>
    </xf>
    <xf numFmtId="0" fontId="2" fillId="4" borderId="9" xfId="0" applyFont="1" applyFill="1" applyBorder="1" applyAlignment="1" applyProtection="1">
      <alignment horizontal="left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/>
    <xf numFmtId="0" fontId="2" fillId="0" borderId="10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2" fillId="0" borderId="10" xfId="0" applyFont="1" applyBorder="1" applyAlignment="1" applyProtection="1">
      <alignment horizontal="lef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top"/>
    </xf>
    <xf numFmtId="0" fontId="2" fillId="0" borderId="0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left" vertical="center"/>
    </xf>
    <xf numFmtId="0" fontId="2" fillId="0" borderId="12" xfId="0" applyFont="1" applyBorder="1" applyAlignment="1" applyProtection="1">
      <alignment horizontal="center" vertical="center"/>
    </xf>
    <xf numFmtId="0" fontId="2" fillId="4" borderId="14" xfId="0" applyFont="1" applyFill="1" applyBorder="1" applyAlignment="1" applyProtection="1">
      <alignment horizontal="center"/>
    </xf>
    <xf numFmtId="0" fontId="3" fillId="4" borderId="14" xfId="0" applyFont="1" applyFill="1" applyBorder="1" applyAlignment="1" applyProtection="1">
      <alignment horizontal="center"/>
    </xf>
    <xf numFmtId="0" fontId="2" fillId="4" borderId="14" xfId="0" applyFont="1" applyFill="1" applyBorder="1" applyAlignment="1" applyProtection="1"/>
    <xf numFmtId="0" fontId="4" fillId="0" borderId="0" xfId="0" applyFont="1" applyBorder="1" applyAlignment="1" applyProtection="1"/>
    <xf numFmtId="0" fontId="3" fillId="0" borderId="0" xfId="0" applyFont="1" applyBorder="1" applyAlignment="1" applyProtection="1">
      <alignment horizontal="center" vertical="top"/>
    </xf>
    <xf numFmtId="0" fontId="2" fillId="0" borderId="0" xfId="0" applyFont="1" applyBorder="1" applyAlignment="1" applyProtection="1">
      <alignment horizontal="left" vertical="top"/>
    </xf>
    <xf numFmtId="0" fontId="4" fillId="4" borderId="4" xfId="0" applyFont="1" applyFill="1" applyBorder="1" applyAlignment="1" applyProtection="1"/>
    <xf numFmtId="0" fontId="3" fillId="0" borderId="12" xfId="0" applyFont="1" applyBorder="1" applyAlignment="1" applyProtection="1">
      <alignment horizontal="center"/>
    </xf>
    <xf numFmtId="0" fontId="2" fillId="0" borderId="12" xfId="0" applyFont="1" applyBorder="1" applyAlignment="1" applyProtection="1"/>
    <xf numFmtId="0" fontId="2" fillId="0" borderId="4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top"/>
    </xf>
    <xf numFmtId="0" fontId="2" fillId="0" borderId="4" xfId="0" applyFont="1" applyBorder="1" applyAlignment="1" applyProtection="1">
      <alignment horizontal="left" vertical="top"/>
    </xf>
    <xf numFmtId="0" fontId="2" fillId="0" borderId="0" xfId="0" applyFont="1" applyAlignment="1" applyProtection="1">
      <alignment vertical="top"/>
    </xf>
    <xf numFmtId="0" fontId="2" fillId="0" borderId="15" xfId="0" applyFont="1" applyBorder="1" applyAlignment="1" applyProtection="1">
      <alignment vertical="top" wrapText="1"/>
    </xf>
    <xf numFmtId="0" fontId="2" fillId="0" borderId="15" xfId="0" applyFont="1" applyBorder="1" applyAlignment="1" applyProtection="1">
      <alignment vertical="top"/>
    </xf>
    <xf numFmtId="0" fontId="2" fillId="0" borderId="15" xfId="0" applyFont="1" applyBorder="1" applyAlignment="1" applyProtection="1">
      <alignment horizontal="center" vertical="top"/>
    </xf>
    <xf numFmtId="0" fontId="2" fillId="0" borderId="0" xfId="0" applyFont="1" applyBorder="1" applyAlignment="1" applyProtection="1">
      <alignment vertical="top" wrapText="1"/>
    </xf>
    <xf numFmtId="0" fontId="2" fillId="0" borderId="0" xfId="0" applyFont="1" applyBorder="1" applyAlignment="1" applyProtection="1">
      <alignment vertical="top"/>
    </xf>
    <xf numFmtId="0" fontId="3" fillId="5" borderId="16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left" vertical="top" wrapText="1"/>
    </xf>
    <xf numFmtId="0" fontId="2" fillId="0" borderId="14" xfId="0" applyFont="1" applyBorder="1" applyAlignment="1" applyProtection="1">
      <alignment horizontal="center"/>
    </xf>
    <xf numFmtId="0" fontId="3" fillId="0" borderId="14" xfId="0" applyFont="1" applyBorder="1" applyAlignment="1" applyProtection="1">
      <alignment horizontal="center"/>
    </xf>
    <xf numFmtId="0" fontId="2" fillId="0" borderId="14" xfId="0" applyFont="1" applyBorder="1" applyAlignment="1" applyProtection="1">
      <alignment horizontal="left"/>
    </xf>
    <xf numFmtId="0" fontId="2" fillId="0" borderId="14" xfId="0" applyFont="1" applyBorder="1" applyAlignment="1" applyProtection="1"/>
    <xf numFmtId="0" fontId="2" fillId="0" borderId="14" xfId="0" applyFont="1" applyBorder="1" applyAlignment="1" applyProtection="1">
      <alignment horizontal="center" vertical="center"/>
    </xf>
    <xf numFmtId="0" fontId="2" fillId="4" borderId="4" xfId="0" applyFont="1" applyFill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left"/>
    </xf>
    <xf numFmtId="0" fontId="2" fillId="0" borderId="15" xfId="0" applyFont="1" applyBorder="1" applyAlignment="1" applyProtection="1">
      <alignment horizontal="center"/>
    </xf>
    <xf numFmtId="0" fontId="3" fillId="0" borderId="15" xfId="0" applyFont="1" applyBorder="1" applyAlignment="1" applyProtection="1">
      <alignment horizontal="center"/>
    </xf>
    <xf numFmtId="0" fontId="2" fillId="0" borderId="15" xfId="0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center" vertical="distributed" wrapText="1"/>
    </xf>
    <xf numFmtId="0" fontId="2" fillId="0" borderId="0" xfId="0" applyFont="1" applyBorder="1" applyAlignment="1" applyProtection="1">
      <alignment horizontal="center" vertical="distributed" wrapText="1"/>
    </xf>
    <xf numFmtId="0" fontId="2" fillId="4" borderId="4" xfId="0" applyFont="1" applyFill="1" applyBorder="1" applyAlignment="1" applyProtection="1"/>
    <xf numFmtId="0" fontId="2" fillId="4" borderId="4" xfId="0" applyFont="1" applyFill="1" applyBorder="1" applyAlignment="1" applyProtection="1">
      <alignment horizontal="center" vertical="distributed" wrapText="1"/>
    </xf>
    <xf numFmtId="0" fontId="2" fillId="0" borderId="4" xfId="0" applyFont="1" applyBorder="1" applyAlignment="1" applyProtection="1"/>
    <xf numFmtId="0" fontId="2" fillId="4" borderId="14" xfId="0" applyFont="1" applyFill="1" applyBorder="1" applyAlignment="1" applyProtection="1">
      <alignment horizontal="left"/>
    </xf>
    <xf numFmtId="0" fontId="2" fillId="0" borderId="15" xfId="0" applyFont="1" applyBorder="1" applyAlignment="1" applyProtection="1"/>
    <xf numFmtId="0" fontId="2" fillId="0" borderId="17" xfId="0" applyFont="1" applyBorder="1" applyAlignment="1" applyProtection="1">
      <alignment horizontal="center"/>
    </xf>
    <xf numFmtId="0" fontId="2" fillId="4" borderId="13" xfId="0" applyFont="1" applyFill="1" applyBorder="1" applyAlignment="1" applyProtection="1">
      <alignment horizontal="center"/>
    </xf>
    <xf numFmtId="0" fontId="2" fillId="4" borderId="13" xfId="0" applyFont="1" applyFill="1" applyBorder="1" applyAlignment="1" applyProtection="1">
      <alignment horizontal="center" vertical="top"/>
    </xf>
    <xf numFmtId="0" fontId="2" fillId="0" borderId="13" xfId="0" applyFont="1" applyBorder="1" applyAlignment="1" applyProtection="1">
      <alignment horizontal="center"/>
    </xf>
    <xf numFmtId="0" fontId="2" fillId="0" borderId="13" xfId="0" applyFont="1" applyBorder="1" applyAlignment="1" applyProtection="1">
      <alignment horizontal="center" vertical="top"/>
    </xf>
    <xf numFmtId="0" fontId="3" fillId="5" borderId="13" xfId="0" applyFont="1" applyFill="1" applyBorder="1" applyAlignment="1" applyProtection="1">
      <alignment horizontal="center"/>
    </xf>
    <xf numFmtId="0" fontId="0" fillId="0" borderId="0" xfId="0" applyAlignment="1" applyProtection="1"/>
    <xf numFmtId="0" fontId="5" fillId="0" borderId="0" xfId="0" applyFont="1" applyAlignment="1" applyProtection="1">
      <alignment horizontal="center"/>
    </xf>
    <xf numFmtId="0" fontId="0" fillId="0" borderId="0" xfId="0" applyFont="1" applyAlignment="1" applyProtection="1"/>
    <xf numFmtId="0" fontId="0" fillId="8" borderId="0" xfId="0" applyFont="1" applyFill="1" applyAlignment="1" applyProtection="1"/>
    <xf numFmtId="0" fontId="0" fillId="8" borderId="0" xfId="0" applyFill="1" applyAlignment="1" applyProtection="1">
      <alignment horizontal="center"/>
    </xf>
    <xf numFmtId="0" fontId="0" fillId="9" borderId="0" xfId="0" applyFont="1" applyFill="1" applyAlignment="1" applyProtection="1"/>
    <xf numFmtId="0" fontId="0" fillId="9" borderId="0" xfId="0" applyFill="1" applyAlignment="1" applyProtection="1">
      <alignment horizontal="center"/>
    </xf>
    <xf numFmtId="0" fontId="6" fillId="0" borderId="0" xfId="0" applyFont="1" applyAlignment="1" applyProtection="1"/>
    <xf numFmtId="0" fontId="6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0" xfId="0" applyFont="1" applyAlignment="1" applyProtection="1">
      <alignment horizontal="center"/>
    </xf>
    <xf numFmtId="0" fontId="0" fillId="10" borderId="0" xfId="0" applyFont="1" applyFill="1" applyAlignment="1" applyProtection="1"/>
    <xf numFmtId="0" fontId="0" fillId="10" borderId="0" xfId="0" applyFill="1" applyAlignment="1" applyProtection="1">
      <alignment horizontal="center"/>
    </xf>
    <xf numFmtId="0" fontId="0" fillId="11" borderId="0" xfId="0" applyFont="1" applyFill="1" applyAlignment="1" applyProtection="1"/>
    <xf numFmtId="0" fontId="0" fillId="11" borderId="0" xfId="0" applyFill="1" applyAlignment="1" applyProtection="1">
      <alignment horizontal="center"/>
    </xf>
    <xf numFmtId="0" fontId="0" fillId="12" borderId="0" xfId="0" applyFont="1" applyFill="1" applyAlignment="1" applyProtection="1"/>
    <xf numFmtId="0" fontId="0" fillId="12" borderId="0" xfId="0" applyFill="1" applyAlignment="1" applyProtection="1">
      <alignment horizontal="center"/>
    </xf>
    <xf numFmtId="0" fontId="5" fillId="0" borderId="0" xfId="2" applyFont="1" applyAlignment="1" applyProtection="1">
      <alignment readingOrder="1"/>
    </xf>
    <xf numFmtId="0" fontId="0" fillId="0" borderId="0" xfId="2" applyFont="1" applyAlignment="1" applyProtection="1">
      <alignment horizontal="center"/>
    </xf>
    <xf numFmtId="0" fontId="0" fillId="0" borderId="0" xfId="2" applyFont="1" applyAlignment="1" applyProtection="1">
      <alignment horizontal="left"/>
    </xf>
    <xf numFmtId="0" fontId="0" fillId="0" borderId="0" xfId="2" applyFont="1" applyAlignment="1" applyProtection="1"/>
    <xf numFmtId="0" fontId="0" fillId="0" borderId="0" xfId="2" applyFont="1" applyAlignment="1" applyProtection="1">
      <alignment vertical="center"/>
    </xf>
    <xf numFmtId="0" fontId="0" fillId="0" borderId="0" xfId="2" applyFont="1" applyAlignment="1" applyProtection="1">
      <alignment horizontal="center" vertical="center"/>
    </xf>
    <xf numFmtId="0" fontId="5" fillId="7" borderId="13" xfId="2" applyFont="1" applyFill="1" applyBorder="1" applyAlignment="1" applyProtection="1">
      <alignment horizontal="center" vertical="center"/>
    </xf>
    <xf numFmtId="0" fontId="5" fillId="0" borderId="19" xfId="2" applyFont="1" applyBorder="1" applyAlignment="1" applyProtection="1">
      <alignment horizontal="center" vertical="center"/>
    </xf>
    <xf numFmtId="0" fontId="5" fillId="0" borderId="20" xfId="2" applyFont="1" applyBorder="1" applyAlignment="1" applyProtection="1">
      <alignment horizontal="center"/>
    </xf>
    <xf numFmtId="0" fontId="0" fillId="0" borderId="18" xfId="2" applyFont="1" applyBorder="1" applyAlignment="1" applyProtection="1">
      <alignment horizontal="center"/>
    </xf>
    <xf numFmtId="0" fontId="0" fillId="0" borderId="21" xfId="0" applyFont="1" applyBorder="1" applyAlignment="1" applyProtection="1"/>
    <xf numFmtId="0" fontId="0" fillId="0" borderId="21" xfId="0" applyBorder="1" applyAlignment="1" applyProtection="1">
      <alignment horizontal="center"/>
    </xf>
    <xf numFmtId="0" fontId="0" fillId="13" borderId="18" xfId="2" applyFont="1" applyFill="1" applyBorder="1" applyAlignment="1" applyProtection="1">
      <alignment horizontal="center"/>
    </xf>
    <xf numFmtId="0" fontId="0" fillId="13" borderId="18" xfId="2" applyFont="1" applyFill="1" applyBorder="1" applyAlignment="1" applyProtection="1"/>
    <xf numFmtId="0" fontId="0" fillId="0" borderId="18" xfId="2" applyFont="1" applyBorder="1" applyAlignment="1" applyProtection="1"/>
    <xf numFmtId="0" fontId="0" fillId="0" borderId="18" xfId="0" applyFont="1" applyBorder="1" applyAlignment="1" applyProtection="1"/>
    <xf numFmtId="0" fontId="0" fillId="0" borderId="18" xfId="0" applyBorder="1" applyAlignment="1" applyProtection="1">
      <alignment horizontal="center"/>
    </xf>
    <xf numFmtId="0" fontId="0" fillId="14" borderId="18" xfId="2" applyFont="1" applyFill="1" applyBorder="1" applyAlignment="1" applyProtection="1">
      <alignment horizontal="center"/>
    </xf>
    <xf numFmtId="0" fontId="0" fillId="14" borderId="0" xfId="0" applyFont="1" applyFill="1" applyAlignment="1" applyProtection="1"/>
    <xf numFmtId="0" fontId="0" fillId="14" borderId="0" xfId="0" applyFill="1" applyAlignment="1" applyProtection="1">
      <alignment horizontal="center"/>
    </xf>
    <xf numFmtId="0" fontId="0" fillId="0" borderId="19" xfId="2" applyFont="1" applyBorder="1" applyAlignment="1" applyProtection="1"/>
    <xf numFmtId="0" fontId="0" fillId="13" borderId="19" xfId="2" applyFont="1" applyFill="1" applyBorder="1" applyAlignment="1" applyProtection="1">
      <alignment horizontal="center"/>
    </xf>
    <xf numFmtId="0" fontId="0" fillId="13" borderId="19" xfId="2" applyFont="1" applyFill="1" applyBorder="1" applyAlignment="1" applyProtection="1"/>
    <xf numFmtId="0" fontId="0" fillId="0" borderId="19" xfId="2" applyFont="1" applyBorder="1" applyAlignment="1" applyProtection="1">
      <alignment horizontal="center"/>
    </xf>
    <xf numFmtId="0" fontId="0" fillId="0" borderId="0" xfId="0" applyFont="1" applyBorder="1" applyAlignment="1" applyProtection="1"/>
    <xf numFmtId="0" fontId="0" fillId="0" borderId="0" xfId="0" applyBorder="1" applyAlignment="1" applyProtection="1">
      <alignment horizontal="center"/>
    </xf>
    <xf numFmtId="0" fontId="0" fillId="0" borderId="18" xfId="0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0" xfId="0" applyBorder="1" applyAlignment="1" applyProtection="1"/>
    <xf numFmtId="0" fontId="7" fillId="0" borderId="18" xfId="0" applyFont="1" applyBorder="1" applyAlignment="1" applyProtection="1"/>
    <xf numFmtId="0" fontId="7" fillId="0" borderId="18" xfId="0" applyFont="1" applyBorder="1" applyAlignment="1" applyProtection="1">
      <alignment horizontal="center"/>
    </xf>
    <xf numFmtId="0" fontId="0" fillId="0" borderId="22" xfId="2" applyFont="1" applyBorder="1" applyAlignment="1" applyProtection="1">
      <alignment horizontal="center"/>
    </xf>
    <xf numFmtId="0" fontId="0" fillId="0" borderId="22" xfId="2" applyFont="1" applyBorder="1" applyAlignment="1" applyProtection="1">
      <alignment horizontal="left"/>
    </xf>
    <xf numFmtId="0" fontId="0" fillId="0" borderId="0" xfId="2" applyFont="1" applyBorder="1" applyAlignment="1" applyProtection="1">
      <alignment horizontal="center"/>
    </xf>
    <xf numFmtId="0" fontId="0" fillId="0" borderId="23" xfId="2" applyFont="1" applyBorder="1" applyAlignment="1" applyProtection="1">
      <alignment horizontal="center"/>
    </xf>
    <xf numFmtId="0" fontId="0" fillId="0" borderId="23" xfId="0" applyFont="1" applyBorder="1" applyAlignment="1" applyProtection="1"/>
    <xf numFmtId="0" fontId="0" fillId="0" borderId="23" xfId="0" applyBorder="1" applyAlignment="1" applyProtection="1">
      <alignment horizontal="center"/>
    </xf>
    <xf numFmtId="0" fontId="0" fillId="13" borderId="23" xfId="2" applyFont="1" applyFill="1" applyBorder="1" applyAlignment="1" applyProtection="1">
      <alignment horizontal="center"/>
    </xf>
    <xf numFmtId="0" fontId="0" fillId="13" borderId="23" xfId="2" applyFont="1" applyFill="1" applyBorder="1" applyAlignment="1" applyProtection="1"/>
    <xf numFmtId="0" fontId="0" fillId="0" borderId="23" xfId="2" applyFont="1" applyBorder="1" applyAlignment="1" applyProtection="1"/>
    <xf numFmtId="0" fontId="0" fillId="0" borderId="18" xfId="2" applyFont="1" applyBorder="1" applyAlignment="1" applyProtection="1">
      <alignment horizontal="left"/>
    </xf>
    <xf numFmtId="0" fontId="0" fillId="0" borderId="19" xfId="0" applyFont="1" applyBorder="1" applyAlignment="1" applyProtection="1">
      <alignment horizontal="center"/>
    </xf>
    <xf numFmtId="0" fontId="0" fillId="0" borderId="19" xfId="0" applyBorder="1" applyAlignment="1" applyProtection="1"/>
    <xf numFmtId="0" fontId="5" fillId="0" borderId="18" xfId="2" applyFont="1" applyBorder="1" applyAlignment="1" applyProtection="1">
      <alignment horizontal="center"/>
    </xf>
    <xf numFmtId="0" fontId="0" fillId="0" borderId="18" xfId="0" applyFont="1" applyBorder="1" applyAlignment="1" applyProtection="1">
      <alignment horizontal="left" vertical="center"/>
    </xf>
    <xf numFmtId="0" fontId="0" fillId="0" borderId="19" xfId="2" applyFont="1" applyBorder="1" applyAlignment="1" applyProtection="1">
      <alignment horizontal="left"/>
    </xf>
    <xf numFmtId="0" fontId="0" fillId="0" borderId="18" xfId="0" applyBorder="1" applyAlignment="1" applyProtection="1"/>
    <xf numFmtId="0" fontId="0" fillId="0" borderId="19" xfId="0" applyFont="1" applyBorder="1" applyAlignment="1" applyProtection="1"/>
    <xf numFmtId="0" fontId="0" fillId="0" borderId="19" xfId="0" applyBorder="1" applyAlignment="1" applyProtection="1">
      <alignment horizontal="center"/>
    </xf>
    <xf numFmtId="0" fontId="5" fillId="7" borderId="13" xfId="2" applyFont="1" applyFill="1" applyBorder="1" applyAlignment="1" applyProtection="1">
      <alignment horizontal="center" vertical="center"/>
    </xf>
    <xf numFmtId="0" fontId="5" fillId="0" borderId="18" xfId="2" applyFont="1" applyBorder="1" applyAlignment="1" applyProtection="1">
      <alignment horizontal="center" vertical="center"/>
    </xf>
    <xf numFmtId="0" fontId="5" fillId="0" borderId="18" xfId="2" applyFont="1" applyBorder="1" applyAlignment="1" applyProtection="1">
      <alignment horizontal="center" vertical="center" wrapText="1" readingOrder="1"/>
    </xf>
    <xf numFmtId="0" fontId="0" fillId="0" borderId="22" xfId="2" applyFont="1" applyBorder="1" applyAlignment="1" applyProtection="1">
      <alignment horizontal="center" vertical="center"/>
    </xf>
    <xf numFmtId="0" fontId="5" fillId="7" borderId="23" xfId="2" applyFont="1" applyFill="1" applyBorder="1" applyAlignment="1" applyProtection="1">
      <alignment horizontal="center" vertical="center" readingOrder="1"/>
    </xf>
    <xf numFmtId="0" fontId="5" fillId="7" borderId="23" xfId="2" applyFont="1" applyFill="1" applyBorder="1" applyAlignment="1" applyProtection="1">
      <alignment horizontal="center" vertical="center"/>
    </xf>
    <xf numFmtId="0" fontId="5" fillId="0" borderId="19" xfId="2" applyFont="1" applyBorder="1" applyAlignment="1" applyProtection="1">
      <alignment horizontal="center" vertical="center" wrapText="1" readingOrder="1"/>
    </xf>
    <xf numFmtId="0" fontId="5" fillId="0" borderId="13" xfId="2" applyFont="1" applyBorder="1" applyAlignment="1" applyProtection="1">
      <alignment horizontal="center" vertical="center" wrapText="1" readingOrder="1"/>
    </xf>
    <xf numFmtId="0" fontId="0" fillId="0" borderId="19" xfId="2" applyFont="1" applyBorder="1" applyAlignment="1" applyProtection="1">
      <alignment horizontal="center" vertical="center"/>
    </xf>
    <xf numFmtId="0" fontId="5" fillId="7" borderId="0" xfId="2" applyFont="1" applyFill="1" applyBorder="1" applyAlignment="1" applyProtection="1">
      <alignment horizontal="center" vertical="center"/>
    </xf>
    <xf numFmtId="0" fontId="5" fillId="7" borderId="24" xfId="2" applyFont="1" applyFill="1" applyBorder="1" applyAlignment="1" applyProtection="1">
      <alignment horizontal="center" vertical="center"/>
    </xf>
    <xf numFmtId="0" fontId="5" fillId="0" borderId="25" xfId="2" applyFont="1" applyBorder="1" applyAlignment="1" applyProtection="1">
      <alignment horizontal="center" vertical="center"/>
    </xf>
    <xf numFmtId="0" fontId="5" fillId="0" borderId="22" xfId="2" applyFont="1" applyBorder="1" applyAlignment="1" applyProtection="1">
      <alignment horizontal="center"/>
    </xf>
    <xf numFmtId="0" fontId="0" fillId="0" borderId="26" xfId="2" applyFont="1" applyBorder="1" applyAlignment="1" applyProtection="1"/>
    <xf numFmtId="0" fontId="0" fillId="0" borderId="25" xfId="2" applyFont="1" applyBorder="1" applyAlignment="1" applyProtection="1"/>
    <xf numFmtId="0" fontId="0" fillId="0" borderId="25" xfId="2" applyFont="1" applyBorder="1" applyAlignment="1" applyProtection="1">
      <alignment horizontal="center"/>
    </xf>
    <xf numFmtId="0" fontId="0" fillId="0" borderId="27" xfId="2" applyFont="1" applyBorder="1" applyAlignment="1" applyProtection="1">
      <alignment horizontal="center"/>
    </xf>
    <xf numFmtId="0" fontId="0" fillId="0" borderId="13" xfId="0" applyBorder="1" applyAlignment="1" applyProtection="1"/>
    <xf numFmtId="0" fontId="9" fillId="0" borderId="13" xfId="0" applyFont="1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0" fontId="0" fillId="0" borderId="13" xfId="2" applyFont="1" applyBorder="1" applyAlignment="1" applyProtection="1">
      <alignment horizontal="center" vertical="center"/>
    </xf>
    <xf numFmtId="0" fontId="9" fillId="0" borderId="13" xfId="2" applyFont="1" applyBorder="1" applyAlignment="1" applyProtection="1">
      <alignment horizontal="center" vertical="center"/>
    </xf>
  </cellXfs>
  <cellStyles count="7">
    <cellStyle name="Normal" xfId="0" builtinId="0"/>
    <cellStyle name="Normal 2" xfId="1" xr:uid="{00000000-0005-0000-0000-000006000000}"/>
    <cellStyle name="Normal 3" xfId="2" xr:uid="{00000000-0005-0000-0000-000007000000}"/>
    <cellStyle name="Normal 3 2" xfId="3" xr:uid="{00000000-0005-0000-0000-000008000000}"/>
    <cellStyle name="Normal 4" xfId="4" xr:uid="{00000000-0005-0000-0000-000009000000}"/>
    <cellStyle name="Normal 5" xfId="5" xr:uid="{00000000-0005-0000-0000-00000A000000}"/>
    <cellStyle name="Normal 6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5E0B4"/>
      <rgbColor rgb="FF660066"/>
      <rgbColor rgb="FFFF8080"/>
      <rgbColor rgb="FF0066CC"/>
      <rgbColor rgb="FFD9D9D9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B0F0"/>
      <rgbColor rgb="FFCCFFFF"/>
      <rgbColor rgb="FFC4FEBB"/>
      <rgbColor rgb="FFFFFF99"/>
      <rgbColor rgb="FFBFBFBF"/>
      <rgbColor rgb="FFFF99CC"/>
      <rgbColor rgb="FFCC99FF"/>
      <rgbColor rgb="FFFFCC99"/>
      <rgbColor rgb="FF3366FF"/>
      <rgbColor rgb="FF33CCCC"/>
      <rgbColor rgb="FF81D41A"/>
      <rgbColor rgb="FFFFC000"/>
      <rgbColor rgb="FFFF9900"/>
      <rgbColor rgb="FFEA7500"/>
      <rgbColor rgb="FF5983B0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3"/>
  <sheetViews>
    <sheetView topLeftCell="A56" zoomScaleNormal="100" workbookViewId="0">
      <selection activeCell="J92" sqref="J92"/>
    </sheetView>
  </sheetViews>
  <sheetFormatPr defaultColWidth="9.1328125" defaultRowHeight="13.15" x14ac:dyDescent="0.4"/>
  <cols>
    <col min="1" max="1" width="2" style="15" customWidth="1"/>
    <col min="2" max="2" width="4.86328125" style="15" customWidth="1"/>
    <col min="3" max="3" width="8.73046875" style="15" customWidth="1"/>
    <col min="4" max="4" width="40.3984375" style="15" customWidth="1"/>
    <col min="5" max="5" width="5" style="15" customWidth="1"/>
    <col min="6" max="6" width="29.265625" style="15" customWidth="1"/>
    <col min="7" max="7" width="9" style="15" customWidth="1"/>
    <col min="8" max="8" width="11.1328125" style="15" customWidth="1"/>
    <col min="9" max="9" width="9.1328125" style="15"/>
    <col min="10" max="10" width="44.86328125" style="15" customWidth="1"/>
    <col min="11" max="11" width="11" style="16" customWidth="1"/>
    <col min="12" max="12" width="14.6640625" style="16" customWidth="1"/>
    <col min="13" max="13" width="9.1328125" style="16"/>
    <col min="14" max="14" width="10.53125" style="15" customWidth="1"/>
    <col min="15" max="15" width="11.53125" style="15" customWidth="1"/>
    <col min="16" max="16" width="10.1328125" style="15" customWidth="1"/>
    <col min="17" max="17" width="40.265625" style="15" customWidth="1"/>
    <col min="18" max="18" width="9.1328125" style="15"/>
    <col min="19" max="19" width="14.6640625" style="15" customWidth="1"/>
    <col min="20" max="20" width="9.1328125" style="15"/>
    <col min="21" max="21" width="9" style="15" customWidth="1"/>
    <col min="22" max="22" width="9.1328125" style="15"/>
    <col min="23" max="23" width="8" style="15" customWidth="1"/>
    <col min="24" max="24" width="42.6640625" style="15" customWidth="1"/>
    <col min="25" max="25" width="9.1328125" style="15"/>
    <col min="26" max="26" width="14.6640625" style="15" customWidth="1"/>
    <col min="27" max="30" width="9.1328125" style="15"/>
    <col min="31" max="31" width="31.1328125" style="15" customWidth="1"/>
    <col min="32" max="32" width="9.1328125" style="15"/>
    <col min="33" max="33" width="14.6640625" style="15" customWidth="1"/>
    <col min="34" max="37" width="9.1328125" style="15"/>
    <col min="38" max="38" width="40.265625" style="15" customWidth="1"/>
    <col min="39" max="16384" width="9.1328125" style="15"/>
  </cols>
  <sheetData>
    <row r="1" spans="2:14" x14ac:dyDescent="0.4">
      <c r="B1" s="14" t="s">
        <v>0</v>
      </c>
      <c r="C1" s="14"/>
      <c r="D1" s="14"/>
      <c r="E1" s="14"/>
      <c r="F1" s="14"/>
      <c r="G1" s="14"/>
    </row>
    <row r="2" spans="2:14" x14ac:dyDescent="0.4">
      <c r="B2" s="14" t="s">
        <v>1</v>
      </c>
      <c r="C2" s="14"/>
      <c r="D2" s="14"/>
      <c r="E2" s="14"/>
      <c r="F2" s="14"/>
      <c r="G2" s="14"/>
    </row>
    <row r="3" spans="2:14" x14ac:dyDescent="0.4">
      <c r="B3" s="18"/>
      <c r="C3" s="18"/>
      <c r="D3" s="18"/>
      <c r="E3" s="18"/>
      <c r="F3" s="18"/>
    </row>
    <row r="4" spans="2:14" x14ac:dyDescent="0.4">
      <c r="B4" s="19" t="s">
        <v>2</v>
      </c>
      <c r="J4" s="20"/>
    </row>
    <row r="5" spans="2:14" x14ac:dyDescent="0.4">
      <c r="B5" s="13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J5" s="20"/>
      <c r="K5" s="20"/>
      <c r="L5" s="21"/>
    </row>
    <row r="6" spans="2:14" x14ac:dyDescent="0.4">
      <c r="B6" s="13"/>
      <c r="C6" s="12"/>
      <c r="D6" s="12"/>
      <c r="E6" s="12"/>
      <c r="F6" s="12"/>
      <c r="J6" s="20"/>
      <c r="K6" s="21"/>
      <c r="L6" s="21"/>
    </row>
    <row r="7" spans="2:14" x14ac:dyDescent="0.4">
      <c r="B7" s="22">
        <v>1</v>
      </c>
      <c r="C7" s="23" t="s">
        <v>8</v>
      </c>
      <c r="D7" s="24" t="s">
        <v>9</v>
      </c>
      <c r="E7" s="25">
        <v>2</v>
      </c>
      <c r="F7" s="25"/>
      <c r="J7" s="20"/>
      <c r="K7" s="21"/>
      <c r="L7" s="21"/>
      <c r="M7" s="21"/>
      <c r="N7" s="19"/>
    </row>
    <row r="8" spans="2:14" x14ac:dyDescent="0.4">
      <c r="B8" s="26">
        <v>2</v>
      </c>
      <c r="C8" s="27" t="s">
        <v>10</v>
      </c>
      <c r="D8" s="28" t="s">
        <v>11</v>
      </c>
      <c r="E8" s="29">
        <v>2</v>
      </c>
      <c r="F8" s="29"/>
      <c r="J8" s="19"/>
      <c r="K8" s="21"/>
      <c r="L8" s="21"/>
    </row>
    <row r="9" spans="2:14" x14ac:dyDescent="0.4">
      <c r="B9" s="22">
        <v>3</v>
      </c>
      <c r="C9" s="23" t="s">
        <v>12</v>
      </c>
      <c r="D9" s="28" t="s">
        <v>13</v>
      </c>
      <c r="E9" s="30">
        <v>1</v>
      </c>
      <c r="F9" s="25"/>
      <c r="J9" s="20"/>
      <c r="K9" s="21"/>
      <c r="L9" s="21"/>
    </row>
    <row r="10" spans="2:14" x14ac:dyDescent="0.4">
      <c r="B10" s="26">
        <v>4</v>
      </c>
      <c r="C10" s="23" t="s">
        <v>14</v>
      </c>
      <c r="D10" s="31" t="s">
        <v>15</v>
      </c>
      <c r="E10" s="32">
        <v>2</v>
      </c>
      <c r="F10" s="25"/>
      <c r="J10" s="20"/>
      <c r="K10" s="21"/>
      <c r="L10" s="21"/>
    </row>
    <row r="11" spans="2:14" x14ac:dyDescent="0.4">
      <c r="B11" s="33">
        <v>5</v>
      </c>
      <c r="C11" s="34" t="s">
        <v>16</v>
      </c>
      <c r="D11" s="35" t="s">
        <v>17</v>
      </c>
      <c r="E11" s="36">
        <v>2</v>
      </c>
      <c r="F11" s="37"/>
      <c r="J11" s="20"/>
      <c r="K11" s="21"/>
      <c r="L11" s="21"/>
      <c r="M11" s="21"/>
      <c r="N11" s="19"/>
    </row>
    <row r="12" spans="2:14" x14ac:dyDescent="0.4">
      <c r="B12" s="33">
        <v>6</v>
      </c>
      <c r="C12" s="34" t="s">
        <v>18</v>
      </c>
      <c r="D12" s="35" t="s">
        <v>19</v>
      </c>
      <c r="E12" s="36">
        <v>3</v>
      </c>
      <c r="F12" s="37"/>
      <c r="J12" s="19"/>
      <c r="K12" s="21"/>
      <c r="L12" s="21"/>
    </row>
    <row r="13" spans="2:14" x14ac:dyDescent="0.4">
      <c r="B13" s="38">
        <v>7</v>
      </c>
      <c r="C13" s="34" t="s">
        <v>20</v>
      </c>
      <c r="D13" s="39" t="s">
        <v>21</v>
      </c>
      <c r="E13" s="40">
        <v>3</v>
      </c>
      <c r="F13" s="37"/>
      <c r="J13" s="20"/>
      <c r="K13" s="21"/>
      <c r="L13" s="21"/>
    </row>
    <row r="14" spans="2:14" x14ac:dyDescent="0.4">
      <c r="B14" s="41">
        <v>8</v>
      </c>
      <c r="C14" s="42" t="s">
        <v>22</v>
      </c>
      <c r="D14" s="43" t="s">
        <v>23</v>
      </c>
      <c r="E14" s="44">
        <v>3</v>
      </c>
      <c r="F14" s="44"/>
      <c r="J14" s="20"/>
      <c r="K14" s="21"/>
      <c r="L14" s="21"/>
    </row>
    <row r="15" spans="2:14" x14ac:dyDescent="0.4">
      <c r="B15" s="45">
        <v>9</v>
      </c>
      <c r="C15" s="42" t="s">
        <v>24</v>
      </c>
      <c r="D15" s="46" t="s">
        <v>25</v>
      </c>
      <c r="E15" s="47">
        <v>2</v>
      </c>
      <c r="F15" s="47"/>
      <c r="J15" s="20"/>
      <c r="K15" s="21"/>
      <c r="L15" s="21"/>
    </row>
    <row r="16" spans="2:14" x14ac:dyDescent="0.4">
      <c r="B16" s="38"/>
      <c r="C16" s="48"/>
      <c r="D16" s="35"/>
      <c r="E16" s="49"/>
      <c r="F16" s="49"/>
    </row>
    <row r="17" spans="1:10" x14ac:dyDescent="0.4">
      <c r="B17" s="11" t="s">
        <v>26</v>
      </c>
      <c r="C17" s="11"/>
      <c r="D17" s="11"/>
      <c r="E17" s="50">
        <f>SUM(E7:E16)</f>
        <v>20</v>
      </c>
      <c r="F17" s="50"/>
    </row>
    <row r="19" spans="1:10" x14ac:dyDescent="0.4">
      <c r="B19" s="19" t="s">
        <v>27</v>
      </c>
    </row>
    <row r="20" spans="1:10" x14ac:dyDescent="0.4">
      <c r="B20" s="10" t="s">
        <v>3</v>
      </c>
      <c r="C20" s="9" t="s">
        <v>28</v>
      </c>
      <c r="D20" s="9" t="s">
        <v>5</v>
      </c>
      <c r="E20" s="9" t="s">
        <v>6</v>
      </c>
      <c r="F20" s="9" t="s">
        <v>29</v>
      </c>
    </row>
    <row r="21" spans="1:10" x14ac:dyDescent="0.4">
      <c r="B21" s="10"/>
      <c r="C21" s="9"/>
      <c r="D21" s="9"/>
      <c r="E21" s="9"/>
      <c r="F21" s="9"/>
    </row>
    <row r="22" spans="1:10" x14ac:dyDescent="0.4">
      <c r="B22" s="26">
        <v>1</v>
      </c>
      <c r="C22" s="23" t="s">
        <v>30</v>
      </c>
      <c r="D22" s="28" t="s">
        <v>31</v>
      </c>
      <c r="E22" s="51">
        <v>2</v>
      </c>
      <c r="F22" s="51"/>
    </row>
    <row r="23" spans="1:10" x14ac:dyDescent="0.4">
      <c r="A23" s="16"/>
      <c r="B23" s="26">
        <v>2</v>
      </c>
      <c r="C23" s="23" t="s">
        <v>32</v>
      </c>
      <c r="D23" s="28" t="s">
        <v>33</v>
      </c>
      <c r="E23" s="51">
        <v>1</v>
      </c>
      <c r="F23" s="51"/>
    </row>
    <row r="24" spans="1:10" x14ac:dyDescent="0.4">
      <c r="B24" s="38">
        <v>3</v>
      </c>
      <c r="C24" s="34" t="s">
        <v>34</v>
      </c>
      <c r="D24" s="35" t="s">
        <v>35</v>
      </c>
      <c r="E24" s="52">
        <v>3</v>
      </c>
      <c r="F24" s="52"/>
    </row>
    <row r="25" spans="1:10" x14ac:dyDescent="0.4">
      <c r="B25" s="38">
        <v>4</v>
      </c>
      <c r="C25" s="34" t="s">
        <v>36</v>
      </c>
      <c r="D25" s="35" t="s">
        <v>37</v>
      </c>
      <c r="E25" s="52">
        <v>2</v>
      </c>
      <c r="F25" s="52"/>
    </row>
    <row r="26" spans="1:10" x14ac:dyDescent="0.4">
      <c r="B26" s="38">
        <v>5</v>
      </c>
      <c r="C26" s="34" t="s">
        <v>38</v>
      </c>
      <c r="D26" s="35" t="s">
        <v>39</v>
      </c>
      <c r="E26" s="52">
        <v>3</v>
      </c>
      <c r="F26" s="52"/>
    </row>
    <row r="27" spans="1:10" x14ac:dyDescent="0.4">
      <c r="B27" s="41">
        <v>6</v>
      </c>
      <c r="C27" s="42" t="s">
        <v>40</v>
      </c>
      <c r="D27" s="46" t="s">
        <v>41</v>
      </c>
      <c r="E27" s="53">
        <v>3</v>
      </c>
      <c r="F27" s="53"/>
    </row>
    <row r="28" spans="1:10" s="15" customFormat="1" x14ac:dyDescent="0.4">
      <c r="B28" s="41">
        <v>7</v>
      </c>
      <c r="C28" s="42" t="s">
        <v>42</v>
      </c>
      <c r="D28" s="46" t="s">
        <v>43</v>
      </c>
      <c r="E28" s="47">
        <v>3</v>
      </c>
      <c r="F28" s="47"/>
    </row>
    <row r="29" spans="1:10" x14ac:dyDescent="0.4">
      <c r="B29" s="41">
        <v>8</v>
      </c>
      <c r="C29" s="42" t="s">
        <v>44</v>
      </c>
      <c r="D29" s="46" t="s">
        <v>45</v>
      </c>
      <c r="E29" s="53">
        <v>3</v>
      </c>
      <c r="F29" s="53"/>
    </row>
    <row r="30" spans="1:10" x14ac:dyDescent="0.4">
      <c r="B30" s="33"/>
      <c r="C30" s="34"/>
      <c r="D30" s="35"/>
      <c r="E30" s="52"/>
      <c r="F30" s="52"/>
    </row>
    <row r="31" spans="1:10" x14ac:dyDescent="0.4">
      <c r="A31" s="16"/>
      <c r="B31" s="11" t="s">
        <v>26</v>
      </c>
      <c r="C31" s="11"/>
      <c r="D31" s="11"/>
      <c r="E31" s="54">
        <f>SUM(E22:E30)</f>
        <v>20</v>
      </c>
      <c r="F31" s="54"/>
      <c r="H31" s="16"/>
      <c r="I31" s="16"/>
      <c r="J31" s="16"/>
    </row>
    <row r="32" spans="1:10" x14ac:dyDescent="0.4">
      <c r="A32" s="16"/>
      <c r="B32" s="21"/>
      <c r="C32" s="21"/>
      <c r="D32" s="21"/>
      <c r="E32" s="21"/>
      <c r="F32" s="21"/>
      <c r="H32" s="16"/>
      <c r="I32" s="16"/>
      <c r="J32" s="16"/>
    </row>
    <row r="33" spans="1:18" x14ac:dyDescent="0.4">
      <c r="A33" s="16"/>
      <c r="B33" s="19" t="s">
        <v>46</v>
      </c>
      <c r="H33" s="16"/>
      <c r="I33" s="16"/>
      <c r="J33" s="16"/>
    </row>
    <row r="34" spans="1:18" x14ac:dyDescent="0.4">
      <c r="A34" s="16"/>
      <c r="B34" s="13" t="s">
        <v>3</v>
      </c>
      <c r="C34" s="12" t="s">
        <v>28</v>
      </c>
      <c r="D34" s="12" t="s">
        <v>5</v>
      </c>
      <c r="E34" s="12" t="s">
        <v>6</v>
      </c>
      <c r="F34" s="12" t="s">
        <v>47</v>
      </c>
      <c r="H34" s="16"/>
      <c r="I34" s="16"/>
      <c r="J34" s="16"/>
    </row>
    <row r="35" spans="1:18" x14ac:dyDescent="0.4">
      <c r="A35" s="16"/>
      <c r="B35" s="13"/>
      <c r="C35" s="12"/>
      <c r="D35" s="12"/>
      <c r="E35" s="12"/>
      <c r="F35" s="12"/>
      <c r="H35" s="16"/>
      <c r="I35" s="16"/>
      <c r="J35" s="16"/>
    </row>
    <row r="36" spans="1:18" x14ac:dyDescent="0.4">
      <c r="A36" s="16"/>
      <c r="B36" s="38">
        <v>1</v>
      </c>
      <c r="C36" s="34" t="s">
        <v>48</v>
      </c>
      <c r="D36" s="35" t="s">
        <v>49</v>
      </c>
      <c r="E36" s="52">
        <v>3</v>
      </c>
      <c r="F36" s="52" t="s">
        <v>20</v>
      </c>
      <c r="H36" s="16"/>
      <c r="I36" s="16"/>
      <c r="J36" s="16"/>
    </row>
    <row r="37" spans="1:18" x14ac:dyDescent="0.4">
      <c r="A37" s="16"/>
      <c r="B37" s="33">
        <v>2</v>
      </c>
      <c r="C37" s="34" t="s">
        <v>50</v>
      </c>
      <c r="D37" s="55" t="s">
        <v>51</v>
      </c>
      <c r="E37" s="52">
        <v>3</v>
      </c>
      <c r="F37" s="52"/>
      <c r="H37" s="16"/>
      <c r="I37" s="16"/>
      <c r="J37" s="16"/>
    </row>
    <row r="38" spans="1:18" x14ac:dyDescent="0.4">
      <c r="A38" s="16"/>
      <c r="B38" s="33">
        <v>3</v>
      </c>
      <c r="C38" s="34" t="s">
        <v>52</v>
      </c>
      <c r="D38" s="35" t="s">
        <v>53</v>
      </c>
      <c r="E38" s="52">
        <v>3</v>
      </c>
      <c r="F38" s="52"/>
      <c r="I38" s="16"/>
      <c r="J38" s="16"/>
    </row>
    <row r="39" spans="1:18" x14ac:dyDescent="0.4">
      <c r="A39" s="16"/>
      <c r="B39" s="38">
        <v>4</v>
      </c>
      <c r="C39" s="48" t="s">
        <v>54</v>
      </c>
      <c r="D39" s="35" t="s">
        <v>55</v>
      </c>
      <c r="E39" s="52">
        <v>2</v>
      </c>
      <c r="F39" s="52" t="s">
        <v>16</v>
      </c>
      <c r="I39" s="16"/>
      <c r="J39" s="16"/>
    </row>
    <row r="40" spans="1:18" x14ac:dyDescent="0.4">
      <c r="A40" s="16"/>
      <c r="B40" s="38">
        <v>5</v>
      </c>
      <c r="C40" s="34" t="s">
        <v>56</v>
      </c>
      <c r="D40" s="35" t="s">
        <v>57</v>
      </c>
      <c r="E40" s="52">
        <v>3</v>
      </c>
      <c r="F40" s="52" t="s">
        <v>58</v>
      </c>
      <c r="I40" s="16"/>
      <c r="J40" s="16"/>
    </row>
    <row r="41" spans="1:18" x14ac:dyDescent="0.4">
      <c r="A41" s="16"/>
      <c r="B41" s="41">
        <v>6</v>
      </c>
      <c r="C41" s="42" t="s">
        <v>59</v>
      </c>
      <c r="D41" s="46" t="s">
        <v>60</v>
      </c>
      <c r="E41" s="53">
        <v>3</v>
      </c>
      <c r="F41" s="53" t="s">
        <v>58</v>
      </c>
      <c r="H41" s="16"/>
      <c r="I41" s="16"/>
      <c r="J41" s="16"/>
    </row>
    <row r="42" spans="1:18" x14ac:dyDescent="0.4">
      <c r="A42" s="16"/>
      <c r="B42" s="45">
        <v>7</v>
      </c>
      <c r="C42" s="42" t="s">
        <v>61</v>
      </c>
      <c r="D42" s="46" t="s">
        <v>62</v>
      </c>
      <c r="E42" s="53">
        <v>3</v>
      </c>
      <c r="F42" s="53" t="s">
        <v>58</v>
      </c>
      <c r="H42" s="16"/>
      <c r="I42" s="16"/>
      <c r="J42" s="16"/>
    </row>
    <row r="43" spans="1:18" x14ac:dyDescent="0.4">
      <c r="A43" s="16"/>
      <c r="B43" s="33"/>
      <c r="C43" s="34"/>
      <c r="D43" s="56"/>
      <c r="E43" s="52"/>
      <c r="F43" s="52"/>
      <c r="I43" s="16"/>
      <c r="J43" s="16"/>
    </row>
    <row r="44" spans="1:18" x14ac:dyDescent="0.4">
      <c r="A44" s="16"/>
      <c r="B44" s="11" t="s">
        <v>26</v>
      </c>
      <c r="C44" s="11"/>
      <c r="D44" s="11"/>
      <c r="E44" s="54">
        <f>SUM(E36:E43)</f>
        <v>20</v>
      </c>
      <c r="F44" s="54"/>
      <c r="I44" s="16"/>
      <c r="J44" s="16"/>
    </row>
    <row r="45" spans="1:18" x14ac:dyDescent="0.4">
      <c r="A45" s="16"/>
      <c r="I45" s="16"/>
      <c r="J45" s="16"/>
      <c r="N45" s="57"/>
      <c r="O45" s="57"/>
      <c r="P45" s="57"/>
      <c r="Q45" s="57"/>
      <c r="R45" s="57"/>
    </row>
    <row r="46" spans="1:18" x14ac:dyDescent="0.4">
      <c r="A46" s="16"/>
      <c r="B46" s="19" t="s">
        <v>63</v>
      </c>
      <c r="I46" s="16"/>
      <c r="J46" s="16"/>
      <c r="N46" s="57"/>
      <c r="O46" s="57"/>
      <c r="P46" s="57"/>
      <c r="Q46" s="57"/>
      <c r="R46" s="57"/>
    </row>
    <row r="47" spans="1:18" x14ac:dyDescent="0.4">
      <c r="A47" s="16"/>
      <c r="B47" s="13" t="s">
        <v>3</v>
      </c>
      <c r="C47" s="12" t="s">
        <v>28</v>
      </c>
      <c r="D47" s="12" t="s">
        <v>5</v>
      </c>
      <c r="E47" s="12" t="s">
        <v>6</v>
      </c>
      <c r="F47" s="12" t="s">
        <v>47</v>
      </c>
      <c r="H47" s="16"/>
      <c r="I47" s="16"/>
      <c r="J47" s="16"/>
      <c r="N47" s="57"/>
      <c r="O47" s="57"/>
      <c r="P47" s="57"/>
      <c r="Q47" s="57"/>
      <c r="R47" s="57"/>
    </row>
    <row r="48" spans="1:18" x14ac:dyDescent="0.4">
      <c r="A48" s="16"/>
      <c r="B48" s="13"/>
      <c r="C48" s="12"/>
      <c r="D48" s="12"/>
      <c r="E48" s="12"/>
      <c r="F48" s="12"/>
      <c r="H48" s="16"/>
      <c r="I48" s="16"/>
      <c r="J48" s="16"/>
      <c r="N48" s="57"/>
      <c r="O48" s="57"/>
      <c r="P48" s="57"/>
      <c r="Q48" s="57"/>
      <c r="R48" s="57"/>
    </row>
    <row r="49" spans="1:18" x14ac:dyDescent="0.4">
      <c r="A49" s="16"/>
      <c r="B49" s="58">
        <v>1</v>
      </c>
      <c r="C49" s="34" t="s">
        <v>64</v>
      </c>
      <c r="D49" s="35" t="s">
        <v>65</v>
      </c>
      <c r="E49" s="52">
        <v>3</v>
      </c>
      <c r="F49" s="52" t="s">
        <v>61</v>
      </c>
      <c r="H49" s="59"/>
      <c r="I49" s="16"/>
      <c r="J49" s="16"/>
      <c r="N49" s="57"/>
      <c r="O49" s="57"/>
      <c r="P49" s="57"/>
      <c r="Q49" s="57"/>
      <c r="R49" s="57"/>
    </row>
    <row r="50" spans="1:18" x14ac:dyDescent="0.4">
      <c r="A50" s="16"/>
      <c r="B50" s="33">
        <v>2</v>
      </c>
      <c r="C50" s="34" t="s">
        <v>66</v>
      </c>
      <c r="D50" s="39" t="s">
        <v>67</v>
      </c>
      <c r="E50" s="40">
        <v>3</v>
      </c>
      <c r="F50" s="40" t="s">
        <v>48</v>
      </c>
      <c r="H50" s="59"/>
      <c r="I50" s="16"/>
      <c r="J50" s="16"/>
      <c r="N50" s="57"/>
      <c r="O50" s="57"/>
      <c r="P50" s="57"/>
      <c r="Q50" s="57"/>
      <c r="R50" s="57"/>
    </row>
    <row r="51" spans="1:18" x14ac:dyDescent="0.4">
      <c r="A51" s="16"/>
      <c r="B51" s="58">
        <v>3</v>
      </c>
      <c r="C51" s="34" t="s">
        <v>68</v>
      </c>
      <c r="D51" s="35" t="s">
        <v>69</v>
      </c>
      <c r="E51" s="52">
        <v>2</v>
      </c>
      <c r="F51" s="52"/>
      <c r="H51" s="16"/>
      <c r="I51" s="16"/>
      <c r="J51" s="16"/>
      <c r="N51" s="57"/>
      <c r="O51" s="57"/>
      <c r="P51" s="57"/>
      <c r="Q51" s="57"/>
      <c r="R51" s="57"/>
    </row>
    <row r="52" spans="1:18" x14ac:dyDescent="0.4">
      <c r="A52" s="16"/>
      <c r="B52" s="45">
        <v>4</v>
      </c>
      <c r="C52" s="42" t="s">
        <v>70</v>
      </c>
      <c r="D52" s="46" t="s">
        <v>71</v>
      </c>
      <c r="E52" s="53">
        <v>3</v>
      </c>
      <c r="F52" s="53" t="s">
        <v>72</v>
      </c>
      <c r="H52" s="16"/>
      <c r="I52" s="16"/>
      <c r="J52" s="60"/>
      <c r="K52" s="61"/>
      <c r="L52" s="61"/>
      <c r="M52" s="61"/>
      <c r="N52" s="57"/>
      <c r="O52" s="57"/>
      <c r="P52" s="57"/>
      <c r="Q52" s="57"/>
      <c r="R52" s="57"/>
    </row>
    <row r="53" spans="1:18" x14ac:dyDescent="0.4">
      <c r="A53" s="16"/>
      <c r="B53" s="45">
        <v>5</v>
      </c>
      <c r="C53" s="42" t="s">
        <v>73</v>
      </c>
      <c r="D53" s="46" t="s">
        <v>74</v>
      </c>
      <c r="E53" s="53">
        <v>3</v>
      </c>
      <c r="F53" s="53" t="s">
        <v>34</v>
      </c>
      <c r="H53" s="59"/>
      <c r="I53" s="16"/>
      <c r="J53" s="60"/>
      <c r="K53" s="61"/>
      <c r="L53" s="61"/>
      <c r="M53" s="61"/>
      <c r="N53" s="57"/>
      <c r="O53" s="57"/>
      <c r="P53" s="57"/>
      <c r="Q53" s="57"/>
      <c r="R53" s="57"/>
    </row>
    <row r="54" spans="1:18" x14ac:dyDescent="0.4">
      <c r="A54" s="16"/>
      <c r="B54" s="62">
        <v>6</v>
      </c>
      <c r="C54" s="42" t="s">
        <v>75</v>
      </c>
      <c r="D54" s="63" t="s">
        <v>76</v>
      </c>
      <c r="E54" s="53">
        <v>3</v>
      </c>
      <c r="F54" s="53" t="s">
        <v>48</v>
      </c>
      <c r="H54" s="16"/>
      <c r="I54" s="16"/>
      <c r="J54" s="60"/>
      <c r="K54" s="61"/>
      <c r="L54" s="61"/>
      <c r="M54" s="61"/>
      <c r="N54" s="57"/>
      <c r="O54" s="57"/>
      <c r="P54" s="57"/>
      <c r="Q54" s="57"/>
      <c r="R54" s="57"/>
    </row>
    <row r="55" spans="1:18" x14ac:dyDescent="0.4">
      <c r="A55" s="16"/>
      <c r="B55" s="45">
        <v>7</v>
      </c>
      <c r="C55" s="42" t="s">
        <v>77</v>
      </c>
      <c r="D55" s="46" t="s">
        <v>78</v>
      </c>
      <c r="E55" s="53">
        <v>3</v>
      </c>
      <c r="F55" s="53" t="s">
        <v>58</v>
      </c>
      <c r="H55" s="16"/>
      <c r="I55" s="16"/>
      <c r="J55" s="60"/>
      <c r="K55" s="61"/>
      <c r="L55" s="61"/>
      <c r="M55" s="61"/>
      <c r="N55" s="57"/>
      <c r="O55" s="57"/>
      <c r="P55" s="57"/>
      <c r="Q55" s="57"/>
      <c r="R55" s="57"/>
    </row>
    <row r="56" spans="1:18" x14ac:dyDescent="0.4">
      <c r="A56" s="16"/>
      <c r="B56" s="33"/>
      <c r="C56" s="34"/>
      <c r="D56" s="35"/>
      <c r="E56" s="52"/>
      <c r="F56" s="52"/>
      <c r="H56" s="16"/>
      <c r="I56" s="16"/>
      <c r="J56" s="60"/>
      <c r="K56" s="61"/>
      <c r="L56" s="61"/>
      <c r="M56" s="61"/>
      <c r="N56" s="57"/>
      <c r="O56" s="57"/>
      <c r="P56" s="57"/>
      <c r="Q56" s="57"/>
      <c r="R56" s="57"/>
    </row>
    <row r="57" spans="1:18" x14ac:dyDescent="0.4">
      <c r="A57" s="16"/>
      <c r="B57" s="11" t="s">
        <v>26</v>
      </c>
      <c r="C57" s="11"/>
      <c r="D57" s="11"/>
      <c r="E57" s="54">
        <f>SUM(E49:E56)</f>
        <v>20</v>
      </c>
      <c r="F57" s="54"/>
      <c r="H57" s="16"/>
      <c r="I57" s="16"/>
      <c r="J57" s="64"/>
      <c r="K57" s="64"/>
      <c r="L57" s="61"/>
      <c r="M57" s="61"/>
      <c r="N57" s="57"/>
      <c r="O57" s="57"/>
      <c r="P57" s="57"/>
      <c r="Q57" s="57"/>
      <c r="R57" s="57"/>
    </row>
    <row r="58" spans="1:18" x14ac:dyDescent="0.4">
      <c r="A58" s="16"/>
      <c r="B58" s="17"/>
      <c r="C58" s="17"/>
      <c r="D58" s="17"/>
      <c r="E58" s="64"/>
      <c r="F58" s="64"/>
      <c r="H58" s="16"/>
      <c r="I58" s="16"/>
      <c r="J58" s="64"/>
      <c r="K58" s="64"/>
      <c r="L58" s="61"/>
      <c r="M58" s="61"/>
      <c r="N58" s="57"/>
      <c r="O58" s="57"/>
      <c r="P58" s="57"/>
      <c r="Q58" s="57"/>
      <c r="R58" s="57"/>
    </row>
    <row r="59" spans="1:18" x14ac:dyDescent="0.4">
      <c r="B59" s="19" t="s">
        <v>79</v>
      </c>
      <c r="J59" s="57"/>
      <c r="K59" s="61"/>
      <c r="L59" s="61"/>
      <c r="M59" s="61"/>
      <c r="N59" s="57"/>
      <c r="O59" s="65"/>
      <c r="P59" s="57"/>
      <c r="Q59" s="57"/>
      <c r="R59" s="61"/>
    </row>
    <row r="60" spans="1:18" x14ac:dyDescent="0.4">
      <c r="B60" s="12" t="s">
        <v>3</v>
      </c>
      <c r="C60" s="12" t="s">
        <v>28</v>
      </c>
      <c r="D60" s="12" t="s">
        <v>5</v>
      </c>
      <c r="E60" s="12" t="s">
        <v>6</v>
      </c>
      <c r="F60" s="12" t="s">
        <v>47</v>
      </c>
      <c r="J60" s="17"/>
      <c r="K60" s="17"/>
      <c r="L60" s="61"/>
      <c r="M60" s="61"/>
      <c r="N60" s="57"/>
      <c r="O60" s="17"/>
      <c r="P60" s="17"/>
      <c r="Q60" s="17"/>
      <c r="R60" s="17"/>
    </row>
    <row r="61" spans="1:18" x14ac:dyDescent="0.4">
      <c r="B61" s="12"/>
      <c r="C61" s="12"/>
      <c r="D61" s="12"/>
      <c r="E61" s="12"/>
      <c r="F61" s="12"/>
      <c r="J61" s="17"/>
      <c r="K61" s="17"/>
      <c r="L61" s="61"/>
      <c r="M61" s="61"/>
      <c r="N61" s="57"/>
      <c r="O61" s="17"/>
      <c r="P61" s="17"/>
      <c r="Q61" s="17"/>
      <c r="R61" s="17"/>
    </row>
    <row r="62" spans="1:18" x14ac:dyDescent="0.4">
      <c r="B62" s="52">
        <v>1</v>
      </c>
      <c r="C62" s="34" t="s">
        <v>80</v>
      </c>
      <c r="D62" s="35" t="s">
        <v>81</v>
      </c>
      <c r="E62" s="52">
        <v>3</v>
      </c>
      <c r="F62" s="52" t="s">
        <v>82</v>
      </c>
      <c r="I62" s="61"/>
      <c r="J62" s="60"/>
      <c r="K62" s="61"/>
      <c r="L62" s="61"/>
      <c r="M62" s="61"/>
      <c r="N62" s="57"/>
      <c r="O62" s="61"/>
      <c r="P62" s="64"/>
      <c r="Q62" s="60"/>
      <c r="R62" s="61"/>
    </row>
    <row r="63" spans="1:18" x14ac:dyDescent="0.4">
      <c r="B63" s="66">
        <v>2</v>
      </c>
      <c r="C63" s="67" t="s">
        <v>83</v>
      </c>
      <c r="D63" s="68" t="s">
        <v>84</v>
      </c>
      <c r="E63" s="69">
        <v>3</v>
      </c>
      <c r="F63" s="69" t="s">
        <v>56</v>
      </c>
      <c r="I63" s="61"/>
      <c r="J63" s="60"/>
      <c r="K63" s="61"/>
      <c r="L63" s="70"/>
      <c r="M63" s="61"/>
      <c r="N63" s="57"/>
      <c r="O63" s="61"/>
      <c r="P63" s="64"/>
      <c r="Q63" s="60"/>
      <c r="R63" s="61"/>
    </row>
    <row r="64" spans="1:18" x14ac:dyDescent="0.4">
      <c r="B64" s="53">
        <v>3</v>
      </c>
      <c r="C64" s="42" t="s">
        <v>85</v>
      </c>
      <c r="D64" s="46" t="s">
        <v>86</v>
      </c>
      <c r="E64" s="53">
        <v>3</v>
      </c>
      <c r="F64" s="53" t="s">
        <v>73</v>
      </c>
      <c r="J64" s="64"/>
      <c r="K64" s="64"/>
      <c r="L64" s="61"/>
      <c r="M64" s="61"/>
      <c r="N64" s="57"/>
      <c r="O64" s="8"/>
      <c r="P64" s="8"/>
      <c r="Q64" s="8"/>
      <c r="R64" s="8"/>
    </row>
    <row r="65" spans="1:39" x14ac:dyDescent="0.4">
      <c r="B65" s="53">
        <v>4</v>
      </c>
      <c r="C65" s="42" t="s">
        <v>87</v>
      </c>
      <c r="D65" s="46" t="s">
        <v>88</v>
      </c>
      <c r="E65" s="53">
        <v>3</v>
      </c>
      <c r="F65" s="53" t="s">
        <v>89</v>
      </c>
      <c r="I65" s="61"/>
      <c r="J65" s="60"/>
      <c r="K65" s="61"/>
      <c r="L65" s="61"/>
      <c r="M65" s="61"/>
      <c r="N65" s="57"/>
      <c r="O65" s="61"/>
      <c r="P65" s="64"/>
      <c r="Q65" s="60"/>
      <c r="R65" s="61"/>
    </row>
    <row r="66" spans="1:39" x14ac:dyDescent="0.4">
      <c r="B66" s="52">
        <v>5</v>
      </c>
      <c r="C66" s="34" t="s">
        <v>90</v>
      </c>
      <c r="D66" s="35" t="s">
        <v>91</v>
      </c>
      <c r="E66" s="52">
        <v>3</v>
      </c>
      <c r="F66" s="52" t="s">
        <v>92</v>
      </c>
      <c r="I66" s="61"/>
      <c r="J66" s="71"/>
      <c r="K66" s="72"/>
      <c r="L66" s="61"/>
      <c r="M66" s="61"/>
      <c r="N66" s="57"/>
      <c r="O66" s="61"/>
      <c r="P66" s="17"/>
      <c r="Q66" s="71"/>
      <c r="R66" s="72"/>
    </row>
    <row r="67" spans="1:39" x14ac:dyDescent="0.4">
      <c r="B67" s="73"/>
      <c r="C67" s="74"/>
      <c r="D67" s="75"/>
      <c r="E67" s="76"/>
      <c r="F67" s="76"/>
      <c r="I67" s="61"/>
      <c r="J67" s="60"/>
      <c r="K67" s="61"/>
      <c r="L67" s="61"/>
      <c r="M67" s="61"/>
      <c r="N67" s="57"/>
      <c r="O67" s="61"/>
      <c r="P67" s="64"/>
      <c r="Q67" s="60"/>
      <c r="R67" s="61"/>
    </row>
    <row r="68" spans="1:39" x14ac:dyDescent="0.4">
      <c r="B68" s="7" t="s">
        <v>93</v>
      </c>
      <c r="C68" s="7"/>
      <c r="D68" s="7"/>
      <c r="E68" s="7"/>
      <c r="F68" s="7"/>
      <c r="I68" s="61"/>
      <c r="J68" s="57"/>
      <c r="K68" s="61"/>
      <c r="L68" s="61"/>
      <c r="M68" s="61"/>
      <c r="N68" s="57"/>
      <c r="O68" s="61"/>
      <c r="P68" s="64"/>
      <c r="Q68" s="57"/>
      <c r="R68" s="61"/>
    </row>
    <row r="69" spans="1:39" x14ac:dyDescent="0.4">
      <c r="B69" s="77">
        <v>1</v>
      </c>
      <c r="C69" s="78" t="s">
        <v>94</v>
      </c>
      <c r="D69" s="79" t="s">
        <v>95</v>
      </c>
      <c r="E69" s="77">
        <v>3</v>
      </c>
      <c r="F69" s="77" t="s">
        <v>75</v>
      </c>
      <c r="H69" s="57"/>
      <c r="I69" s="61"/>
      <c r="J69" s="80"/>
      <c r="K69" s="61"/>
      <c r="L69" s="61"/>
      <c r="M69" s="61"/>
      <c r="N69" s="57"/>
      <c r="O69" s="70"/>
      <c r="P69" s="81"/>
      <c r="Q69" s="82"/>
      <c r="R69" s="70"/>
    </row>
    <row r="70" spans="1:39" x14ac:dyDescent="0.4">
      <c r="B70" s="53">
        <v>2</v>
      </c>
      <c r="C70" s="42" t="s">
        <v>96</v>
      </c>
      <c r="D70" s="83" t="s">
        <v>97</v>
      </c>
      <c r="E70" s="53">
        <v>3</v>
      </c>
      <c r="F70" s="53" t="s">
        <v>75</v>
      </c>
      <c r="H70" s="57"/>
      <c r="I70" s="57"/>
      <c r="J70" s="57"/>
      <c r="K70" s="57"/>
      <c r="L70" s="61"/>
      <c r="M70" s="57"/>
      <c r="N70" s="57"/>
      <c r="O70" s="57"/>
      <c r="P70" s="57"/>
      <c r="Q70" s="57"/>
      <c r="R70" s="57"/>
    </row>
    <row r="71" spans="1:39" x14ac:dyDescent="0.4">
      <c r="B71" s="73"/>
      <c r="C71" s="84"/>
      <c r="D71" s="85"/>
      <c r="E71" s="76"/>
      <c r="F71" s="76"/>
      <c r="H71" s="57"/>
      <c r="I71" s="57"/>
      <c r="J71" s="57"/>
      <c r="K71" s="57"/>
      <c r="L71" s="61"/>
      <c r="M71" s="57"/>
      <c r="N71" s="57"/>
      <c r="O71" s="57"/>
      <c r="P71" s="57"/>
      <c r="Q71" s="57"/>
      <c r="R71" s="57"/>
    </row>
    <row r="72" spans="1:39" x14ac:dyDescent="0.4">
      <c r="B72" s="7" t="s">
        <v>98</v>
      </c>
      <c r="C72" s="7"/>
      <c r="D72" s="7"/>
      <c r="E72" s="7"/>
      <c r="F72" s="7"/>
      <c r="H72" s="57"/>
      <c r="I72" s="57"/>
      <c r="J72" s="57"/>
      <c r="K72" s="57"/>
      <c r="L72" s="61"/>
      <c r="M72" s="57"/>
      <c r="N72" s="57"/>
      <c r="O72" s="57"/>
      <c r="P72" s="57"/>
      <c r="Q72" s="57"/>
      <c r="R72" s="57"/>
    </row>
    <row r="73" spans="1:39" x14ac:dyDescent="0.4">
      <c r="B73" s="77">
        <v>1</v>
      </c>
      <c r="C73" s="78" t="s">
        <v>99</v>
      </c>
      <c r="D73" s="79" t="s">
        <v>100</v>
      </c>
      <c r="E73" s="77">
        <v>3</v>
      </c>
      <c r="F73" s="77" t="s">
        <v>70</v>
      </c>
      <c r="H73" s="57"/>
      <c r="I73" s="57"/>
      <c r="J73" s="57"/>
      <c r="K73" s="57"/>
      <c r="L73" s="61"/>
      <c r="M73" s="57"/>
      <c r="N73" s="57"/>
      <c r="O73" s="57"/>
      <c r="P73" s="57"/>
      <c r="Q73" s="57"/>
      <c r="R73" s="57"/>
    </row>
    <row r="74" spans="1:39" x14ac:dyDescent="0.4">
      <c r="B74" s="86">
        <v>2</v>
      </c>
      <c r="C74" s="87" t="s">
        <v>101</v>
      </c>
      <c r="D74" s="88" t="s">
        <v>102</v>
      </c>
      <c r="E74" s="86">
        <v>3</v>
      </c>
      <c r="F74" s="86" t="s">
        <v>66</v>
      </c>
      <c r="I74" s="57"/>
      <c r="J74" s="57"/>
      <c r="K74" s="57"/>
      <c r="L74" s="61"/>
      <c r="M74" s="57"/>
      <c r="N74" s="57"/>
      <c r="O74" s="57"/>
      <c r="P74" s="57"/>
      <c r="Q74" s="57"/>
      <c r="R74" s="57"/>
    </row>
    <row r="75" spans="1:39" x14ac:dyDescent="0.4">
      <c r="A75" s="89"/>
      <c r="B75" s="90"/>
      <c r="C75" s="90"/>
      <c r="D75" s="91"/>
      <c r="E75" s="92"/>
      <c r="F75" s="92"/>
      <c r="G75" s="89"/>
      <c r="H75" s="93"/>
      <c r="I75" s="64"/>
      <c r="J75" s="64"/>
      <c r="K75" s="64"/>
      <c r="L75" s="61"/>
      <c r="M75" s="94"/>
      <c r="N75" s="94"/>
      <c r="O75" s="64"/>
      <c r="P75" s="64"/>
      <c r="Q75" s="64"/>
      <c r="R75" s="64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</row>
    <row r="76" spans="1:39" x14ac:dyDescent="0.4">
      <c r="B76" s="6" t="s">
        <v>26</v>
      </c>
      <c r="C76" s="6"/>
      <c r="D76" s="6"/>
      <c r="E76" s="95">
        <f>SUM(E62:E66,E69,E70)</f>
        <v>21</v>
      </c>
      <c r="F76" s="95"/>
      <c r="H76" s="96"/>
      <c r="M76" s="57"/>
      <c r="N76" s="57"/>
      <c r="O76" s="57"/>
      <c r="P76" s="57"/>
      <c r="Q76" s="57"/>
      <c r="R76" s="57"/>
    </row>
    <row r="77" spans="1:39" x14ac:dyDescent="0.4">
      <c r="B77" s="21"/>
      <c r="C77" s="21"/>
      <c r="D77" s="21"/>
      <c r="E77" s="21"/>
      <c r="F77" s="21"/>
      <c r="H77" s="96"/>
      <c r="M77" s="57"/>
      <c r="N77" s="57"/>
      <c r="O77" s="57"/>
      <c r="P77" s="57"/>
      <c r="Q77" s="57"/>
      <c r="R77" s="57"/>
    </row>
    <row r="78" spans="1:39" x14ac:dyDescent="0.4">
      <c r="B78" s="19" t="s">
        <v>103</v>
      </c>
    </row>
    <row r="79" spans="1:39" x14ac:dyDescent="0.4">
      <c r="B79" s="12" t="s">
        <v>3</v>
      </c>
      <c r="C79" s="12" t="s">
        <v>28</v>
      </c>
      <c r="D79" s="12" t="s">
        <v>5</v>
      </c>
      <c r="E79" s="12" t="s">
        <v>6</v>
      </c>
      <c r="F79" s="12" t="s">
        <v>47</v>
      </c>
      <c r="M79" s="61"/>
      <c r="N79" s="57"/>
      <c r="O79" s="17"/>
      <c r="P79" s="17"/>
      <c r="Q79" s="17"/>
      <c r="R79" s="17"/>
    </row>
    <row r="80" spans="1:39" x14ac:dyDescent="0.4">
      <c r="B80" s="12"/>
      <c r="C80" s="12"/>
      <c r="D80" s="12"/>
      <c r="E80" s="12"/>
      <c r="F80" s="12"/>
      <c r="M80" s="61"/>
      <c r="N80" s="57"/>
      <c r="O80" s="17"/>
      <c r="P80" s="17"/>
      <c r="Q80" s="17"/>
      <c r="R80" s="17"/>
    </row>
    <row r="81" spans="1:39" x14ac:dyDescent="0.4">
      <c r="B81" s="97">
        <v>1</v>
      </c>
      <c r="C81" s="98" t="s">
        <v>104</v>
      </c>
      <c r="D81" s="99" t="s">
        <v>105</v>
      </c>
      <c r="E81" s="97">
        <v>2</v>
      </c>
      <c r="F81" s="97"/>
    </row>
    <row r="82" spans="1:39" x14ac:dyDescent="0.4">
      <c r="B82" s="52">
        <v>2</v>
      </c>
      <c r="C82" s="34" t="s">
        <v>106</v>
      </c>
      <c r="D82" s="35" t="s">
        <v>107</v>
      </c>
      <c r="E82" s="52">
        <v>3</v>
      </c>
      <c r="F82" s="52" t="s">
        <v>80</v>
      </c>
    </row>
    <row r="83" spans="1:39" x14ac:dyDescent="0.4">
      <c r="B83" s="52">
        <v>3</v>
      </c>
      <c r="C83" s="34" t="s">
        <v>108</v>
      </c>
      <c r="D83" s="35" t="s">
        <v>109</v>
      </c>
      <c r="E83" s="52">
        <v>3</v>
      </c>
      <c r="F83" s="52" t="s">
        <v>110</v>
      </c>
    </row>
    <row r="84" spans="1:39" x14ac:dyDescent="0.4">
      <c r="B84" s="53">
        <v>4</v>
      </c>
      <c r="C84" s="42" t="s">
        <v>111</v>
      </c>
      <c r="D84" s="43" t="s">
        <v>112</v>
      </c>
      <c r="E84" s="44">
        <v>3</v>
      </c>
      <c r="F84" s="44" t="str">
        <f>C54</f>
        <v>TIF2443</v>
      </c>
    </row>
    <row r="85" spans="1:39" x14ac:dyDescent="0.4">
      <c r="A85" s="89"/>
      <c r="B85" s="53">
        <v>5</v>
      </c>
      <c r="C85" s="42" t="s">
        <v>113</v>
      </c>
      <c r="D85" s="46" t="s">
        <v>114</v>
      </c>
      <c r="E85" s="53">
        <v>3</v>
      </c>
      <c r="F85" s="53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J85" s="89"/>
      <c r="AK85" s="89"/>
      <c r="AL85" s="89"/>
      <c r="AM85" s="89"/>
    </row>
    <row r="86" spans="1:39" x14ac:dyDescent="0.4">
      <c r="B86" s="66"/>
      <c r="C86" s="67"/>
      <c r="D86" s="56"/>
      <c r="E86" s="66"/>
      <c r="F86" s="66"/>
      <c r="K86" s="15"/>
      <c r="L86" s="15"/>
    </row>
    <row r="87" spans="1:39" x14ac:dyDescent="0.4">
      <c r="B87" s="7" t="s">
        <v>115</v>
      </c>
      <c r="C87" s="7"/>
      <c r="D87" s="7"/>
      <c r="E87" s="7"/>
      <c r="F87" s="7"/>
      <c r="K87" s="15"/>
      <c r="L87" s="15"/>
    </row>
    <row r="88" spans="1:39" x14ac:dyDescent="0.4">
      <c r="B88" s="97">
        <v>1</v>
      </c>
      <c r="C88" s="98" t="s">
        <v>116</v>
      </c>
      <c r="D88" s="100" t="s">
        <v>117</v>
      </c>
      <c r="E88" s="101">
        <v>3</v>
      </c>
      <c r="F88" s="101" t="s">
        <v>80</v>
      </c>
      <c r="K88" s="15"/>
      <c r="L88" s="15"/>
    </row>
    <row r="89" spans="1:39" x14ac:dyDescent="0.4">
      <c r="B89" s="53">
        <v>2</v>
      </c>
      <c r="C89" s="42" t="s">
        <v>118</v>
      </c>
      <c r="D89" s="46" t="s">
        <v>119</v>
      </c>
      <c r="E89" s="102">
        <v>3</v>
      </c>
      <c r="F89" s="53" t="s">
        <v>120</v>
      </c>
      <c r="K89" s="15"/>
      <c r="L89" s="15"/>
    </row>
    <row r="90" spans="1:39" x14ac:dyDescent="0.4">
      <c r="B90" s="73"/>
      <c r="C90" s="84"/>
      <c r="D90" s="103"/>
      <c r="E90" s="76"/>
      <c r="F90" s="76"/>
    </row>
    <row r="91" spans="1:39" x14ac:dyDescent="0.4">
      <c r="B91" s="7" t="s">
        <v>121</v>
      </c>
      <c r="C91" s="7"/>
      <c r="D91" s="7"/>
      <c r="E91" s="7"/>
      <c r="F91" s="7"/>
    </row>
    <row r="92" spans="1:39" x14ac:dyDescent="0.4">
      <c r="B92" s="97">
        <v>1</v>
      </c>
      <c r="C92" s="98" t="s">
        <v>122</v>
      </c>
      <c r="D92" s="99" t="s">
        <v>123</v>
      </c>
      <c r="E92" s="97">
        <v>3</v>
      </c>
      <c r="F92" s="97" t="s">
        <v>124</v>
      </c>
    </row>
    <row r="93" spans="1:39" x14ac:dyDescent="0.4">
      <c r="B93" s="52">
        <v>2</v>
      </c>
      <c r="C93" s="34" t="s">
        <v>125</v>
      </c>
      <c r="D93" s="35" t="s">
        <v>126</v>
      </c>
      <c r="E93" s="52">
        <v>3</v>
      </c>
      <c r="F93" s="52" t="s">
        <v>124</v>
      </c>
    </row>
    <row r="94" spans="1:39" x14ac:dyDescent="0.4">
      <c r="B94" s="104"/>
      <c r="C94" s="105"/>
      <c r="D94" s="106"/>
      <c r="E94" s="104"/>
      <c r="F94" s="104"/>
    </row>
    <row r="95" spans="1:39" x14ac:dyDescent="0.4">
      <c r="B95" s="6" t="s">
        <v>26</v>
      </c>
      <c r="C95" s="6"/>
      <c r="D95" s="6"/>
      <c r="E95" s="95">
        <f>SUM(E81:E85,E88,E89)</f>
        <v>20</v>
      </c>
      <c r="F95" s="95"/>
      <c r="AI95" s="89"/>
    </row>
    <row r="97" spans="1:18" x14ac:dyDescent="0.4">
      <c r="B97" s="19" t="s">
        <v>127</v>
      </c>
      <c r="J97" s="57"/>
      <c r="K97" s="61"/>
    </row>
    <row r="98" spans="1:18" x14ac:dyDescent="0.4">
      <c r="B98" s="5" t="s">
        <v>3</v>
      </c>
      <c r="C98" s="5" t="s">
        <v>28</v>
      </c>
      <c r="D98" s="5" t="s">
        <v>5</v>
      </c>
      <c r="E98" s="5" t="s">
        <v>6</v>
      </c>
      <c r="F98" s="5" t="s">
        <v>47</v>
      </c>
      <c r="J98" s="14"/>
      <c r="K98" s="14"/>
    </row>
    <row r="99" spans="1:18" x14ac:dyDescent="0.4">
      <c r="B99" s="5"/>
      <c r="C99" s="5"/>
      <c r="D99" s="5"/>
      <c r="E99" s="5"/>
      <c r="F99" s="5"/>
      <c r="J99" s="14"/>
      <c r="K99" s="14"/>
    </row>
    <row r="100" spans="1:18" x14ac:dyDescent="0.4">
      <c r="A100" s="16"/>
      <c r="B100" s="52">
        <v>1</v>
      </c>
      <c r="C100" s="34" t="s">
        <v>128</v>
      </c>
      <c r="D100" s="35" t="s">
        <v>129</v>
      </c>
      <c r="E100" s="52">
        <v>3</v>
      </c>
      <c r="F100" s="52" t="s">
        <v>48</v>
      </c>
      <c r="H100" s="16"/>
      <c r="I100" s="16"/>
      <c r="J100" s="60"/>
      <c r="K100" s="61"/>
      <c r="L100" s="61"/>
      <c r="M100" s="61"/>
      <c r="N100" s="57"/>
      <c r="O100" s="57"/>
      <c r="P100" s="57"/>
      <c r="Q100" s="57"/>
      <c r="R100" s="57"/>
    </row>
    <row r="101" spans="1:18" x14ac:dyDescent="0.4">
      <c r="B101" s="52">
        <v>2</v>
      </c>
      <c r="C101" s="34" t="s">
        <v>130</v>
      </c>
      <c r="D101" s="35" t="s">
        <v>131</v>
      </c>
      <c r="E101" s="107">
        <v>2</v>
      </c>
      <c r="F101" s="107" t="s">
        <v>132</v>
      </c>
      <c r="I101" s="61"/>
      <c r="J101" s="60"/>
      <c r="K101" s="108"/>
    </row>
    <row r="102" spans="1:18" x14ac:dyDescent="0.4">
      <c r="B102" s="53">
        <v>3</v>
      </c>
      <c r="C102" s="42" t="s">
        <v>133</v>
      </c>
      <c r="D102" s="109" t="s">
        <v>134</v>
      </c>
      <c r="E102" s="110">
        <v>3</v>
      </c>
      <c r="F102" s="110" t="str">
        <f>F65</f>
        <v xml:space="preserve"> TIF1733</v>
      </c>
      <c r="I102" s="61"/>
      <c r="J102" s="57"/>
      <c r="K102" s="108"/>
    </row>
    <row r="103" spans="1:18" x14ac:dyDescent="0.4">
      <c r="B103" s="53">
        <v>4</v>
      </c>
      <c r="C103" s="42" t="s">
        <v>135</v>
      </c>
      <c r="D103" s="46" t="s">
        <v>136</v>
      </c>
      <c r="E103" s="53">
        <v>3</v>
      </c>
      <c r="F103" s="53" t="str">
        <f>F102</f>
        <v xml:space="preserve"> TIF1733</v>
      </c>
      <c r="I103" s="61"/>
      <c r="J103" s="60"/>
      <c r="K103" s="61"/>
    </row>
    <row r="104" spans="1:18" x14ac:dyDescent="0.4">
      <c r="B104" s="52">
        <v>5</v>
      </c>
      <c r="C104" s="34" t="s">
        <v>137</v>
      </c>
      <c r="D104" s="35" t="s">
        <v>138</v>
      </c>
      <c r="E104" s="52">
        <v>3</v>
      </c>
      <c r="F104" s="52" t="s">
        <v>139</v>
      </c>
      <c r="I104" s="61"/>
      <c r="J104" s="60"/>
      <c r="K104" s="61"/>
    </row>
    <row r="105" spans="1:18" x14ac:dyDescent="0.4">
      <c r="A105" s="16"/>
      <c r="B105" s="73"/>
      <c r="C105" s="85"/>
      <c r="D105" s="85"/>
      <c r="E105" s="73"/>
      <c r="F105" s="73"/>
      <c r="I105" s="61"/>
      <c r="J105" s="57"/>
      <c r="K105" s="61"/>
    </row>
    <row r="106" spans="1:18" x14ac:dyDescent="0.4">
      <c r="A106" s="16"/>
      <c r="B106" s="7" t="s">
        <v>115</v>
      </c>
      <c r="C106" s="7"/>
      <c r="D106" s="7"/>
      <c r="E106" s="7"/>
      <c r="F106" s="7"/>
      <c r="I106" s="8"/>
      <c r="J106" s="8"/>
      <c r="K106" s="8"/>
    </row>
    <row r="107" spans="1:18" x14ac:dyDescent="0.4">
      <c r="A107" s="16"/>
      <c r="B107" s="97">
        <v>1</v>
      </c>
      <c r="C107" s="98" t="s">
        <v>140</v>
      </c>
      <c r="D107" s="99" t="s">
        <v>141</v>
      </c>
      <c r="E107" s="97">
        <v>3</v>
      </c>
      <c r="F107" s="97" t="s">
        <v>142</v>
      </c>
      <c r="I107" s="61"/>
      <c r="J107" s="60"/>
      <c r="K107" s="61"/>
    </row>
    <row r="108" spans="1:18" x14ac:dyDescent="0.4">
      <c r="A108" s="16"/>
      <c r="B108" s="52">
        <v>2</v>
      </c>
      <c r="C108" s="34" t="s">
        <v>143</v>
      </c>
      <c r="D108" s="111" t="s">
        <v>144</v>
      </c>
      <c r="E108" s="52">
        <v>3</v>
      </c>
      <c r="F108" s="52" t="str">
        <f>F107</f>
        <v>TIF0823, TIF4663</v>
      </c>
      <c r="I108" s="61"/>
      <c r="J108" s="57"/>
      <c r="K108" s="61"/>
    </row>
    <row r="109" spans="1:18" x14ac:dyDescent="0.4">
      <c r="A109" s="16"/>
      <c r="B109" s="73"/>
      <c r="C109" s="84"/>
      <c r="D109" s="85"/>
      <c r="E109" s="73"/>
      <c r="F109" s="73"/>
      <c r="I109" s="61"/>
      <c r="J109" s="57"/>
      <c r="K109" s="61"/>
    </row>
    <row r="110" spans="1:18" x14ac:dyDescent="0.4">
      <c r="A110" s="16"/>
      <c r="B110" s="7" t="s">
        <v>121</v>
      </c>
      <c r="C110" s="7"/>
      <c r="D110" s="7"/>
      <c r="E110" s="7"/>
      <c r="F110" s="7"/>
      <c r="I110" s="8"/>
      <c r="J110" s="8"/>
      <c r="K110" s="8"/>
    </row>
    <row r="111" spans="1:18" x14ac:dyDescent="0.4">
      <c r="A111" s="16"/>
      <c r="B111" s="77">
        <v>1</v>
      </c>
      <c r="C111" s="78" t="s">
        <v>145</v>
      </c>
      <c r="D111" s="112" t="s">
        <v>146</v>
      </c>
      <c r="E111" s="77">
        <v>3</v>
      </c>
      <c r="F111" s="77" t="s">
        <v>147</v>
      </c>
      <c r="I111" s="61"/>
      <c r="J111" s="60"/>
      <c r="K111" s="61"/>
    </row>
    <row r="112" spans="1:18" x14ac:dyDescent="0.4">
      <c r="A112" s="16"/>
      <c r="B112" s="104"/>
      <c r="C112" s="105"/>
      <c r="D112" s="113"/>
      <c r="E112" s="104"/>
      <c r="F112" s="104"/>
      <c r="I112" s="61"/>
      <c r="J112" s="57"/>
      <c r="K112" s="61"/>
    </row>
    <row r="113" spans="1:11" x14ac:dyDescent="0.4">
      <c r="A113" s="16"/>
      <c r="B113" s="6" t="s">
        <v>26</v>
      </c>
      <c r="C113" s="6"/>
      <c r="D113" s="6"/>
      <c r="E113" s="95">
        <f>SUM(E100:E104,E107)</f>
        <v>17</v>
      </c>
      <c r="F113" s="95"/>
      <c r="I113" s="64"/>
      <c r="J113" s="64"/>
      <c r="K113" s="64"/>
    </row>
    <row r="114" spans="1:11" x14ac:dyDescent="0.4">
      <c r="A114" s="16"/>
      <c r="I114" s="57"/>
      <c r="J114" s="57"/>
      <c r="K114" s="61"/>
    </row>
    <row r="115" spans="1:11" x14ac:dyDescent="0.4">
      <c r="B115" s="19" t="s">
        <v>148</v>
      </c>
      <c r="J115" s="57"/>
      <c r="K115" s="61"/>
    </row>
    <row r="116" spans="1:11" x14ac:dyDescent="0.4">
      <c r="B116" s="5" t="s">
        <v>3</v>
      </c>
      <c r="C116" s="5" t="s">
        <v>28</v>
      </c>
      <c r="D116" s="5" t="s">
        <v>5</v>
      </c>
      <c r="E116" s="5" t="s">
        <v>6</v>
      </c>
      <c r="F116" s="5" t="s">
        <v>47</v>
      </c>
      <c r="J116" s="14"/>
      <c r="K116" s="14"/>
    </row>
    <row r="117" spans="1:11" x14ac:dyDescent="0.4">
      <c r="B117" s="5"/>
      <c r="C117" s="5"/>
      <c r="D117" s="5"/>
      <c r="E117" s="5"/>
      <c r="F117" s="5"/>
      <c r="J117" s="14"/>
      <c r="K117" s="14"/>
    </row>
    <row r="118" spans="1:11" x14ac:dyDescent="0.4">
      <c r="B118" s="114">
        <v>1</v>
      </c>
      <c r="C118" s="34" t="s">
        <v>149</v>
      </c>
      <c r="D118" s="35" t="s">
        <v>150</v>
      </c>
      <c r="E118" s="114">
        <v>6</v>
      </c>
      <c r="F118" s="114" t="s">
        <v>151</v>
      </c>
      <c r="I118" s="61"/>
      <c r="J118" s="60"/>
      <c r="K118" s="61"/>
    </row>
    <row r="119" spans="1:11" x14ac:dyDescent="0.4">
      <c r="A119" s="16"/>
      <c r="B119" s="104"/>
      <c r="C119" s="105"/>
      <c r="D119" s="113"/>
      <c r="E119" s="104"/>
      <c r="F119" s="104"/>
      <c r="I119" s="61"/>
      <c r="J119" s="57"/>
      <c r="K119" s="61"/>
    </row>
    <row r="120" spans="1:11" x14ac:dyDescent="0.4">
      <c r="A120" s="16"/>
      <c r="B120" s="6" t="s">
        <v>26</v>
      </c>
      <c r="C120" s="6"/>
      <c r="D120" s="6"/>
      <c r="E120" s="95">
        <f>E118</f>
        <v>6</v>
      </c>
      <c r="F120" s="95"/>
      <c r="I120" s="64"/>
      <c r="J120" s="64"/>
      <c r="K120" s="64"/>
    </row>
    <row r="121" spans="1:11" x14ac:dyDescent="0.4">
      <c r="A121" s="16"/>
      <c r="I121" s="57"/>
      <c r="J121" s="57"/>
      <c r="K121" s="61"/>
    </row>
    <row r="122" spans="1:11" x14ac:dyDescent="0.4">
      <c r="A122" s="16"/>
      <c r="E122" s="19">
        <f>SUM(E17,E31,E44,E57,E76,E95,E113,E120)</f>
        <v>144</v>
      </c>
      <c r="I122" s="57"/>
      <c r="J122" s="57"/>
      <c r="K122" s="61"/>
    </row>
    <row r="123" spans="1:11" x14ac:dyDescent="0.4">
      <c r="A123" s="16"/>
      <c r="I123" s="57"/>
      <c r="J123" s="57"/>
      <c r="K123" s="61"/>
    </row>
    <row r="124" spans="1:11" x14ac:dyDescent="0.4">
      <c r="A124" s="16"/>
      <c r="I124" s="57"/>
      <c r="J124" s="57"/>
      <c r="K124" s="61"/>
    </row>
    <row r="125" spans="1:11" x14ac:dyDescent="0.4">
      <c r="A125" s="16"/>
      <c r="I125" s="57"/>
      <c r="J125" s="57"/>
      <c r="K125" s="61"/>
    </row>
    <row r="126" spans="1:11" x14ac:dyDescent="0.4">
      <c r="A126" s="16"/>
      <c r="I126" s="57"/>
      <c r="J126" s="57"/>
      <c r="K126" s="61"/>
    </row>
    <row r="127" spans="1:11" x14ac:dyDescent="0.4">
      <c r="B127" s="4" t="s">
        <v>3</v>
      </c>
      <c r="C127" s="4" t="s">
        <v>28</v>
      </c>
      <c r="D127" s="4" t="s">
        <v>5</v>
      </c>
      <c r="E127" s="4" t="s">
        <v>6</v>
      </c>
      <c r="F127" s="4" t="s">
        <v>29</v>
      </c>
      <c r="G127" s="4" t="s">
        <v>152</v>
      </c>
      <c r="J127" s="14"/>
      <c r="K127" s="14"/>
    </row>
    <row r="128" spans="1:11" x14ac:dyDescent="0.4">
      <c r="B128" s="4"/>
      <c r="C128" s="4"/>
      <c r="D128" s="4"/>
      <c r="E128" s="4"/>
      <c r="F128" s="4"/>
      <c r="G128" s="4"/>
      <c r="J128" s="14"/>
      <c r="K128" s="14"/>
    </row>
    <row r="129" spans="2:7" x14ac:dyDescent="0.4">
      <c r="B129" s="7" t="s">
        <v>93</v>
      </c>
      <c r="C129" s="7"/>
      <c r="D129" s="7"/>
      <c r="E129" s="7"/>
      <c r="F129" s="7"/>
      <c r="G129" s="7"/>
    </row>
    <row r="130" spans="2:7" x14ac:dyDescent="0.4">
      <c r="B130" s="115">
        <v>1</v>
      </c>
      <c r="C130" s="78" t="s">
        <v>94</v>
      </c>
      <c r="D130" s="79" t="s">
        <v>95</v>
      </c>
      <c r="E130" s="77">
        <v>3</v>
      </c>
      <c r="F130" s="77" t="s">
        <v>75</v>
      </c>
      <c r="G130" s="116">
        <v>5</v>
      </c>
    </row>
    <row r="131" spans="2:7" x14ac:dyDescent="0.4">
      <c r="B131" s="115">
        <v>2</v>
      </c>
      <c r="C131" s="42" t="s">
        <v>96</v>
      </c>
      <c r="D131" s="83" t="s">
        <v>97</v>
      </c>
      <c r="E131" s="53">
        <v>3</v>
      </c>
      <c r="F131" s="53" t="s">
        <v>75</v>
      </c>
      <c r="G131" s="116">
        <v>5</v>
      </c>
    </row>
    <row r="132" spans="2:7" x14ac:dyDescent="0.4">
      <c r="B132" s="117">
        <v>3</v>
      </c>
      <c r="C132" s="98" t="s">
        <v>116</v>
      </c>
      <c r="D132" s="100" t="s">
        <v>117</v>
      </c>
      <c r="E132" s="101">
        <v>3</v>
      </c>
      <c r="F132" s="101" t="s">
        <v>80</v>
      </c>
      <c r="G132" s="118">
        <v>6</v>
      </c>
    </row>
    <row r="133" spans="2:7" x14ac:dyDescent="0.4">
      <c r="B133" s="115">
        <v>4</v>
      </c>
      <c r="C133" s="42" t="s">
        <v>118</v>
      </c>
      <c r="D133" s="46" t="s">
        <v>119</v>
      </c>
      <c r="E133" s="102">
        <v>3</v>
      </c>
      <c r="F133" s="53" t="s">
        <v>120</v>
      </c>
      <c r="G133" s="116">
        <v>6</v>
      </c>
    </row>
    <row r="134" spans="2:7" x14ac:dyDescent="0.4">
      <c r="B134" s="117">
        <v>5</v>
      </c>
      <c r="C134" s="98" t="s">
        <v>140</v>
      </c>
      <c r="D134" s="99" t="s">
        <v>141</v>
      </c>
      <c r="E134" s="97">
        <v>3</v>
      </c>
      <c r="F134" s="97" t="s">
        <v>142</v>
      </c>
      <c r="G134" s="118">
        <v>7</v>
      </c>
    </row>
    <row r="135" spans="2:7" x14ac:dyDescent="0.4">
      <c r="B135" s="117">
        <v>6</v>
      </c>
      <c r="C135" s="34" t="s">
        <v>143</v>
      </c>
      <c r="D135" s="111" t="s">
        <v>144</v>
      </c>
      <c r="E135" s="52">
        <v>3</v>
      </c>
      <c r="F135" s="52" t="str">
        <f>F134</f>
        <v>TIF0823, TIF4663</v>
      </c>
      <c r="G135" s="118">
        <v>7</v>
      </c>
    </row>
    <row r="136" spans="2:7" x14ac:dyDescent="0.4">
      <c r="B136" s="3" t="s">
        <v>26</v>
      </c>
      <c r="C136" s="3"/>
      <c r="D136" s="3"/>
      <c r="E136" s="119">
        <f>SUM(E130:E135)</f>
        <v>18</v>
      </c>
      <c r="F136" s="119"/>
      <c r="G136" s="119"/>
    </row>
    <row r="137" spans="2:7" x14ac:dyDescent="0.4">
      <c r="B137" s="7" t="s">
        <v>98</v>
      </c>
      <c r="C137" s="7"/>
      <c r="D137" s="7"/>
      <c r="E137" s="7"/>
      <c r="F137" s="7"/>
      <c r="G137" s="7"/>
    </row>
    <row r="138" spans="2:7" x14ac:dyDescent="0.4">
      <c r="B138" s="115">
        <v>1</v>
      </c>
      <c r="C138" s="78" t="s">
        <v>99</v>
      </c>
      <c r="D138" s="79" t="s">
        <v>100</v>
      </c>
      <c r="E138" s="77">
        <v>3</v>
      </c>
      <c r="F138" s="77" t="s">
        <v>70</v>
      </c>
      <c r="G138" s="116">
        <v>5</v>
      </c>
    </row>
    <row r="139" spans="2:7" x14ac:dyDescent="0.4">
      <c r="B139" s="118">
        <v>2</v>
      </c>
      <c r="C139" s="87" t="s">
        <v>101</v>
      </c>
      <c r="D139" s="88" t="s">
        <v>102</v>
      </c>
      <c r="E139" s="86">
        <v>3</v>
      </c>
      <c r="F139" s="86" t="s">
        <v>66</v>
      </c>
      <c r="G139" s="118">
        <v>5</v>
      </c>
    </row>
    <row r="140" spans="2:7" x14ac:dyDescent="0.4">
      <c r="B140" s="117">
        <v>3</v>
      </c>
      <c r="C140" s="98" t="s">
        <v>122</v>
      </c>
      <c r="D140" s="99" t="s">
        <v>123</v>
      </c>
      <c r="E140" s="97">
        <v>3</v>
      </c>
      <c r="F140" s="97" t="s">
        <v>124</v>
      </c>
      <c r="G140" s="118">
        <v>6</v>
      </c>
    </row>
    <row r="141" spans="2:7" x14ac:dyDescent="0.4">
      <c r="B141" s="117">
        <v>4</v>
      </c>
      <c r="C141" s="34" t="s">
        <v>125</v>
      </c>
      <c r="D141" s="35" t="s">
        <v>126</v>
      </c>
      <c r="E141" s="52">
        <v>3</v>
      </c>
      <c r="F141" s="52" t="s">
        <v>124</v>
      </c>
      <c r="G141" s="118">
        <v>6</v>
      </c>
    </row>
    <row r="142" spans="2:7" x14ac:dyDescent="0.4">
      <c r="B142" s="115">
        <v>5</v>
      </c>
      <c r="C142" s="78" t="s">
        <v>145</v>
      </c>
      <c r="D142" s="112" t="s">
        <v>146</v>
      </c>
      <c r="E142" s="77">
        <v>3</v>
      </c>
      <c r="F142" s="77" t="s">
        <v>147</v>
      </c>
      <c r="G142" s="116">
        <v>7</v>
      </c>
    </row>
    <row r="143" spans="2:7" x14ac:dyDescent="0.4">
      <c r="B143" s="3" t="s">
        <v>26</v>
      </c>
      <c r="C143" s="3"/>
      <c r="D143" s="3"/>
      <c r="E143" s="119">
        <f>SUM(E138:E142)</f>
        <v>15</v>
      </c>
      <c r="F143" s="119"/>
      <c r="G143" s="119"/>
    </row>
  </sheetData>
  <mergeCells count="75">
    <mergeCell ref="B129:G129"/>
    <mergeCell ref="B136:D136"/>
    <mergeCell ref="B137:G137"/>
    <mergeCell ref="B143:D143"/>
    <mergeCell ref="F116:F117"/>
    <mergeCell ref="J116:J117"/>
    <mergeCell ref="K116:K117"/>
    <mergeCell ref="B120:D120"/>
    <mergeCell ref="B127:B128"/>
    <mergeCell ref="C127:C128"/>
    <mergeCell ref="D127:D128"/>
    <mergeCell ref="E127:E128"/>
    <mergeCell ref="F127:F128"/>
    <mergeCell ref="G127:G128"/>
    <mergeCell ref="J127:J128"/>
    <mergeCell ref="K127:K128"/>
    <mergeCell ref="B113:D113"/>
    <mergeCell ref="B116:B117"/>
    <mergeCell ref="C116:C117"/>
    <mergeCell ref="D116:D117"/>
    <mergeCell ref="E116:E117"/>
    <mergeCell ref="J98:J99"/>
    <mergeCell ref="K98:K99"/>
    <mergeCell ref="B106:F106"/>
    <mergeCell ref="I106:K106"/>
    <mergeCell ref="B110:F110"/>
    <mergeCell ref="I110:K110"/>
    <mergeCell ref="B87:F87"/>
    <mergeCell ref="B91:F91"/>
    <mergeCell ref="B95:D95"/>
    <mergeCell ref="B98:B99"/>
    <mergeCell ref="C98:C99"/>
    <mergeCell ref="D98:D99"/>
    <mergeCell ref="E98:E99"/>
    <mergeCell ref="F98:F99"/>
    <mergeCell ref="O64:R64"/>
    <mergeCell ref="B68:F68"/>
    <mergeCell ref="B72:F72"/>
    <mergeCell ref="B76:D76"/>
    <mergeCell ref="B79:B80"/>
    <mergeCell ref="C79:C80"/>
    <mergeCell ref="D79:D80"/>
    <mergeCell ref="E79:E80"/>
    <mergeCell ref="F79:F80"/>
    <mergeCell ref="F47:F48"/>
    <mergeCell ref="B57:D57"/>
    <mergeCell ref="B60:B61"/>
    <mergeCell ref="C60:C61"/>
    <mergeCell ref="D60:D61"/>
    <mergeCell ref="E60:E61"/>
    <mergeCell ref="F60:F61"/>
    <mergeCell ref="B44:D44"/>
    <mergeCell ref="B47:B48"/>
    <mergeCell ref="C47:C48"/>
    <mergeCell ref="D47:D48"/>
    <mergeCell ref="E47:E48"/>
    <mergeCell ref="F20:F21"/>
    <mergeCell ref="B31:D31"/>
    <mergeCell ref="B34:B35"/>
    <mergeCell ref="C34:C35"/>
    <mergeCell ref="D34:D35"/>
    <mergeCell ref="E34:E35"/>
    <mergeCell ref="F34:F35"/>
    <mergeCell ref="B17:D17"/>
    <mergeCell ref="B20:B21"/>
    <mergeCell ref="C20:C21"/>
    <mergeCell ref="D20:D21"/>
    <mergeCell ref="E20:E21"/>
    <mergeCell ref="B1:G1"/>
    <mergeCell ref="B2:G2"/>
    <mergeCell ref="B5:B6"/>
    <mergeCell ref="C5:C6"/>
    <mergeCell ref="D5:D6"/>
    <mergeCell ref="E5:E6"/>
    <mergeCell ref="F5:F6"/>
  </mergeCells>
  <pageMargins left="0.43333333333333302" right="0.39374999999999999" top="0.55138888888888904" bottom="0.43333333333333302" header="0.511811023622047" footer="0.511811023622047"/>
  <pageSetup paperSize="9" scale="9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J120"/>
  <sheetViews>
    <sheetView topLeftCell="B42" zoomScaleNormal="100" workbookViewId="0">
      <selection activeCell="A63" sqref="A63"/>
    </sheetView>
  </sheetViews>
  <sheetFormatPr defaultColWidth="11.59765625" defaultRowHeight="14.25" x14ac:dyDescent="0.45"/>
  <cols>
    <col min="1" max="1" width="6.265625" style="120" customWidth="1"/>
    <col min="2" max="2" width="13" style="120" customWidth="1"/>
    <col min="3" max="3" width="66" style="120" customWidth="1"/>
    <col min="4" max="5" width="11.73046875" style="120" customWidth="1"/>
    <col min="6" max="6" width="66.1328125" style="120" customWidth="1"/>
    <col min="7" max="7" width="48.86328125" style="120" customWidth="1"/>
  </cols>
  <sheetData>
    <row r="5" spans="1:10" x14ac:dyDescent="0.45">
      <c r="A5" s="121" t="s">
        <v>3</v>
      </c>
      <c r="B5" s="121" t="s">
        <v>4</v>
      </c>
      <c r="C5" s="121" t="s">
        <v>5</v>
      </c>
      <c r="D5" s="121" t="s">
        <v>153</v>
      </c>
      <c r="E5" s="121" t="s">
        <v>154</v>
      </c>
      <c r="F5" s="121" t="s">
        <v>155</v>
      </c>
      <c r="G5" s="121" t="s">
        <v>156</v>
      </c>
      <c r="H5" s="122" t="s">
        <v>157</v>
      </c>
    </row>
    <row r="6" spans="1:10" x14ac:dyDescent="0.45">
      <c r="A6" s="120">
        <v>1</v>
      </c>
      <c r="B6" s="123" t="s">
        <v>34</v>
      </c>
      <c r="C6" s="123" t="s">
        <v>158</v>
      </c>
      <c r="D6" s="124">
        <v>3</v>
      </c>
      <c r="E6" s="124" t="s">
        <v>159</v>
      </c>
      <c r="F6" s="123" t="s">
        <v>160</v>
      </c>
      <c r="H6" s="122" t="s">
        <v>161</v>
      </c>
      <c r="J6" s="122" t="s">
        <v>162</v>
      </c>
    </row>
    <row r="7" spans="1:10" x14ac:dyDescent="0.45">
      <c r="A7" s="120">
        <v>2</v>
      </c>
      <c r="B7" s="123" t="s">
        <v>34</v>
      </c>
      <c r="C7" s="123" t="s">
        <v>163</v>
      </c>
      <c r="D7" s="124">
        <v>3</v>
      </c>
      <c r="E7" s="124" t="s">
        <v>159</v>
      </c>
      <c r="F7" s="123" t="s">
        <v>160</v>
      </c>
      <c r="H7" s="122" t="s">
        <v>164</v>
      </c>
      <c r="J7" s="122" t="s">
        <v>165</v>
      </c>
    </row>
    <row r="8" spans="1:10" x14ac:dyDescent="0.45">
      <c r="A8" s="120">
        <v>3</v>
      </c>
      <c r="B8" s="123" t="s">
        <v>34</v>
      </c>
      <c r="C8" s="123" t="s">
        <v>166</v>
      </c>
      <c r="D8" s="124">
        <v>3</v>
      </c>
      <c r="E8" s="124" t="s">
        <v>159</v>
      </c>
      <c r="F8" s="123" t="s">
        <v>167</v>
      </c>
      <c r="H8" s="122" t="s">
        <v>168</v>
      </c>
      <c r="J8" s="120">
        <v>12</v>
      </c>
    </row>
    <row r="9" spans="1:10" x14ac:dyDescent="0.45">
      <c r="A9" s="120">
        <v>4</v>
      </c>
      <c r="B9" s="123" t="s">
        <v>34</v>
      </c>
      <c r="C9" s="123" t="s">
        <v>169</v>
      </c>
      <c r="D9" s="124">
        <v>3</v>
      </c>
      <c r="E9" s="124" t="s">
        <v>159</v>
      </c>
      <c r="F9" s="123" t="s">
        <v>167</v>
      </c>
      <c r="H9" s="122" t="s">
        <v>170</v>
      </c>
      <c r="J9" s="120">
        <v>12</v>
      </c>
    </row>
    <row r="10" spans="1:10" x14ac:dyDescent="0.45">
      <c r="A10" s="120">
        <v>5</v>
      </c>
      <c r="B10" s="125" t="s">
        <v>34</v>
      </c>
      <c r="C10" s="125" t="s">
        <v>171</v>
      </c>
      <c r="D10" s="126">
        <v>3</v>
      </c>
      <c r="E10" s="126" t="s">
        <v>159</v>
      </c>
      <c r="F10" s="125" t="s">
        <v>172</v>
      </c>
      <c r="H10" s="122" t="s">
        <v>173</v>
      </c>
      <c r="J10" s="120">
        <v>12</v>
      </c>
    </row>
    <row r="11" spans="1:10" ht="18" x14ac:dyDescent="0.55000000000000004">
      <c r="A11" s="120">
        <v>6</v>
      </c>
      <c r="B11" s="127" t="s">
        <v>34</v>
      </c>
      <c r="C11" s="127" t="s">
        <v>174</v>
      </c>
      <c r="D11" s="128">
        <v>3</v>
      </c>
      <c r="E11" s="128" t="s">
        <v>159</v>
      </c>
      <c r="F11" s="127" t="s">
        <v>175</v>
      </c>
      <c r="H11" s="122" t="s">
        <v>176</v>
      </c>
      <c r="J11" s="120">
        <v>12</v>
      </c>
    </row>
    <row r="12" spans="1:10" x14ac:dyDescent="0.45">
      <c r="A12" s="120">
        <v>7</v>
      </c>
      <c r="B12" s="123" t="s">
        <v>36</v>
      </c>
      <c r="C12" s="123" t="s">
        <v>177</v>
      </c>
      <c r="D12" s="124">
        <v>2</v>
      </c>
      <c r="E12" s="124" t="s">
        <v>159</v>
      </c>
      <c r="F12" s="123" t="s">
        <v>178</v>
      </c>
      <c r="H12" s="122" t="s">
        <v>179</v>
      </c>
      <c r="J12" s="120" t="s">
        <v>180</v>
      </c>
    </row>
    <row r="13" spans="1:10" x14ac:dyDescent="0.45">
      <c r="A13" s="120">
        <v>8</v>
      </c>
      <c r="B13" s="123" t="s">
        <v>36</v>
      </c>
      <c r="C13" s="123" t="s">
        <v>181</v>
      </c>
      <c r="D13" s="124">
        <v>2</v>
      </c>
      <c r="E13" s="124" t="s">
        <v>159</v>
      </c>
      <c r="F13" s="123" t="s">
        <v>178</v>
      </c>
      <c r="H13" s="122" t="s">
        <v>182</v>
      </c>
      <c r="J13" s="120" t="s">
        <v>183</v>
      </c>
    </row>
    <row r="14" spans="1:10" x14ac:dyDescent="0.45">
      <c r="A14" s="120">
        <v>9</v>
      </c>
      <c r="B14" s="123" t="s">
        <v>36</v>
      </c>
      <c r="C14" s="123" t="s">
        <v>184</v>
      </c>
      <c r="D14" s="124">
        <v>2</v>
      </c>
      <c r="E14" s="124" t="s">
        <v>159</v>
      </c>
      <c r="F14" s="123" t="s">
        <v>178</v>
      </c>
      <c r="H14" s="122" t="s">
        <v>185</v>
      </c>
      <c r="J14" s="120">
        <v>6</v>
      </c>
    </row>
    <row r="15" spans="1:10" x14ac:dyDescent="0.45">
      <c r="A15" s="120">
        <v>10</v>
      </c>
      <c r="B15" s="123" t="s">
        <v>36</v>
      </c>
      <c r="C15" s="123" t="s">
        <v>186</v>
      </c>
      <c r="D15" s="124">
        <v>2</v>
      </c>
      <c r="E15" s="124" t="s">
        <v>159</v>
      </c>
      <c r="F15" s="123" t="s">
        <v>178</v>
      </c>
      <c r="H15" s="122" t="s">
        <v>187</v>
      </c>
      <c r="J15" s="120">
        <v>3</v>
      </c>
    </row>
    <row r="16" spans="1:10" x14ac:dyDescent="0.45">
      <c r="A16" s="120">
        <v>11</v>
      </c>
      <c r="B16" s="123" t="s">
        <v>36</v>
      </c>
      <c r="C16" s="123" t="s">
        <v>188</v>
      </c>
      <c r="D16" s="124">
        <v>2</v>
      </c>
      <c r="E16" s="124" t="s">
        <v>159</v>
      </c>
      <c r="F16" s="123" t="s">
        <v>178</v>
      </c>
      <c r="H16" s="122" t="s">
        <v>189</v>
      </c>
      <c r="J16" s="120">
        <v>3</v>
      </c>
    </row>
    <row r="17" spans="1:7" x14ac:dyDescent="0.45">
      <c r="A17" s="120">
        <v>12</v>
      </c>
      <c r="B17" s="123" t="s">
        <v>36</v>
      </c>
      <c r="C17" s="123" t="s">
        <v>190</v>
      </c>
      <c r="D17" s="124">
        <v>2</v>
      </c>
      <c r="E17" s="124" t="s">
        <v>159</v>
      </c>
      <c r="F17" s="123" t="s">
        <v>178</v>
      </c>
    </row>
    <row r="18" spans="1:7" x14ac:dyDescent="0.45">
      <c r="A18" s="120">
        <v>13</v>
      </c>
      <c r="B18" s="123" t="s">
        <v>38</v>
      </c>
      <c r="C18" s="123" t="s">
        <v>191</v>
      </c>
      <c r="D18" s="124">
        <v>3</v>
      </c>
      <c r="E18" s="124" t="s">
        <v>159</v>
      </c>
      <c r="F18" s="123" t="s">
        <v>192</v>
      </c>
    </row>
    <row r="19" spans="1:7" x14ac:dyDescent="0.45">
      <c r="A19" s="120">
        <v>14</v>
      </c>
      <c r="B19" s="123" t="s">
        <v>38</v>
      </c>
      <c r="C19" s="123" t="s">
        <v>193</v>
      </c>
      <c r="D19" s="124">
        <v>3</v>
      </c>
      <c r="E19" s="124" t="s">
        <v>159</v>
      </c>
      <c r="F19" s="123" t="s">
        <v>192</v>
      </c>
    </row>
    <row r="20" spans="1:7" x14ac:dyDescent="0.45">
      <c r="A20" s="120">
        <v>15</v>
      </c>
      <c r="B20" s="123" t="s">
        <v>38</v>
      </c>
      <c r="C20" s="123" t="s">
        <v>194</v>
      </c>
      <c r="D20" s="124">
        <v>3</v>
      </c>
      <c r="E20" s="124" t="s">
        <v>159</v>
      </c>
      <c r="F20" s="123" t="s">
        <v>192</v>
      </c>
    </row>
    <row r="21" spans="1:7" x14ac:dyDescent="0.45">
      <c r="A21" s="120">
        <v>16</v>
      </c>
      <c r="B21" s="123" t="s">
        <v>38</v>
      </c>
      <c r="C21" s="123" t="s">
        <v>195</v>
      </c>
      <c r="D21" s="124">
        <v>3</v>
      </c>
      <c r="E21" s="124" t="s">
        <v>159</v>
      </c>
      <c r="F21" s="123" t="s">
        <v>192</v>
      </c>
    </row>
    <row r="22" spans="1:7" x14ac:dyDescent="0.45">
      <c r="A22" s="120">
        <v>17</v>
      </c>
      <c r="B22" s="123" t="s">
        <v>38</v>
      </c>
      <c r="C22" s="123" t="s">
        <v>196</v>
      </c>
      <c r="D22" s="124">
        <v>3</v>
      </c>
      <c r="E22" s="124" t="s">
        <v>159</v>
      </c>
      <c r="F22" s="123" t="s">
        <v>197</v>
      </c>
      <c r="G22" s="120" t="s">
        <v>198</v>
      </c>
    </row>
    <row r="23" spans="1:7" x14ac:dyDescent="0.45">
      <c r="A23" s="120">
        <v>18</v>
      </c>
      <c r="B23" s="123" t="s">
        <v>38</v>
      </c>
      <c r="C23" s="123" t="s">
        <v>199</v>
      </c>
      <c r="D23" s="124">
        <v>3</v>
      </c>
      <c r="E23" s="124" t="s">
        <v>159</v>
      </c>
      <c r="F23" s="123" t="s">
        <v>197</v>
      </c>
      <c r="G23" s="120" t="s">
        <v>198</v>
      </c>
    </row>
    <row r="24" spans="1:7" x14ac:dyDescent="0.45">
      <c r="A24" s="120">
        <v>19</v>
      </c>
      <c r="B24" s="122" t="s">
        <v>40</v>
      </c>
      <c r="C24" s="122" t="s">
        <v>200</v>
      </c>
      <c r="D24" s="129">
        <v>3</v>
      </c>
      <c r="E24" s="129" t="s">
        <v>159</v>
      </c>
      <c r="F24" s="122" t="s">
        <v>201</v>
      </c>
      <c r="G24" s="130" t="s">
        <v>202</v>
      </c>
    </row>
    <row r="25" spans="1:7" x14ac:dyDescent="0.45">
      <c r="A25" s="120">
        <v>20</v>
      </c>
      <c r="B25" s="122" t="s">
        <v>40</v>
      </c>
      <c r="C25" s="122" t="s">
        <v>203</v>
      </c>
      <c r="D25" s="129">
        <v>3</v>
      </c>
      <c r="E25" s="129" t="s">
        <v>159</v>
      </c>
      <c r="F25" s="122" t="s">
        <v>201</v>
      </c>
      <c r="G25" s="130" t="s">
        <v>202</v>
      </c>
    </row>
    <row r="26" spans="1:7" x14ac:dyDescent="0.45">
      <c r="A26" s="120">
        <v>21</v>
      </c>
      <c r="B26" s="122" t="s">
        <v>40</v>
      </c>
      <c r="C26" s="122" t="s">
        <v>204</v>
      </c>
      <c r="D26" s="129">
        <v>3</v>
      </c>
      <c r="E26" s="129" t="s">
        <v>159</v>
      </c>
      <c r="F26" s="122" t="s">
        <v>201</v>
      </c>
      <c r="G26" s="130" t="s">
        <v>202</v>
      </c>
    </row>
    <row r="27" spans="1:7" x14ac:dyDescent="0.45">
      <c r="A27" s="120">
        <v>22</v>
      </c>
      <c r="B27" s="122" t="s">
        <v>40</v>
      </c>
      <c r="C27" s="122" t="s">
        <v>205</v>
      </c>
      <c r="D27" s="129">
        <v>3</v>
      </c>
      <c r="E27" s="129" t="s">
        <v>159</v>
      </c>
      <c r="F27" s="122" t="s">
        <v>201</v>
      </c>
      <c r="G27" s="130" t="s">
        <v>202</v>
      </c>
    </row>
    <row r="28" spans="1:7" x14ac:dyDescent="0.45">
      <c r="A28" s="120">
        <v>23</v>
      </c>
      <c r="B28" s="122" t="s">
        <v>40</v>
      </c>
      <c r="C28" s="122" t="s">
        <v>206</v>
      </c>
      <c r="D28" s="129">
        <v>3</v>
      </c>
      <c r="E28" s="129" t="s">
        <v>159</v>
      </c>
      <c r="F28" s="122" t="s">
        <v>172</v>
      </c>
      <c r="G28" s="130" t="s">
        <v>202</v>
      </c>
    </row>
    <row r="29" spans="1:7" x14ac:dyDescent="0.45">
      <c r="A29" s="120">
        <v>24</v>
      </c>
      <c r="B29" s="122" t="s">
        <v>40</v>
      </c>
      <c r="C29" s="122" t="s">
        <v>207</v>
      </c>
      <c r="D29" s="129">
        <v>3</v>
      </c>
      <c r="E29" s="129" t="s">
        <v>159</v>
      </c>
      <c r="F29" s="122" t="s">
        <v>172</v>
      </c>
      <c r="G29" s="130" t="s">
        <v>202</v>
      </c>
    </row>
    <row r="30" spans="1:7" x14ac:dyDescent="0.45">
      <c r="B30" s="122" t="s">
        <v>40</v>
      </c>
      <c r="C30" s="122" t="s">
        <v>208</v>
      </c>
      <c r="D30" s="129">
        <v>3</v>
      </c>
      <c r="E30" s="129" t="s">
        <v>159</v>
      </c>
      <c r="F30" s="122" t="s">
        <v>172</v>
      </c>
      <c r="G30" s="130" t="s">
        <v>202</v>
      </c>
    </row>
    <row r="31" spans="1:7" x14ac:dyDescent="0.45">
      <c r="A31" s="120">
        <v>25</v>
      </c>
      <c r="B31" s="123" t="s">
        <v>42</v>
      </c>
      <c r="C31" s="123" t="s">
        <v>209</v>
      </c>
      <c r="D31" s="124">
        <v>3</v>
      </c>
      <c r="E31" s="124" t="s">
        <v>159</v>
      </c>
      <c r="F31" s="123" t="s">
        <v>210</v>
      </c>
    </row>
    <row r="32" spans="1:7" x14ac:dyDescent="0.45">
      <c r="A32" s="120">
        <v>26</v>
      </c>
      <c r="B32" s="123" t="s">
        <v>42</v>
      </c>
      <c r="C32" s="123" t="s">
        <v>211</v>
      </c>
      <c r="D32" s="124">
        <v>3</v>
      </c>
      <c r="E32" s="124" t="s">
        <v>159</v>
      </c>
      <c r="F32" s="123" t="s">
        <v>210</v>
      </c>
    </row>
    <row r="33" spans="1:7" x14ac:dyDescent="0.45">
      <c r="A33" s="120">
        <v>27</v>
      </c>
      <c r="B33" s="123" t="s">
        <v>42</v>
      </c>
      <c r="C33" s="123" t="s">
        <v>212</v>
      </c>
      <c r="D33" s="124">
        <v>3</v>
      </c>
      <c r="E33" s="124" t="s">
        <v>159</v>
      </c>
      <c r="F33" s="123" t="s">
        <v>210</v>
      </c>
    </row>
    <row r="34" spans="1:7" x14ac:dyDescent="0.45">
      <c r="A34" s="120">
        <v>28</v>
      </c>
      <c r="B34" s="123" t="s">
        <v>42</v>
      </c>
      <c r="C34" s="123" t="s">
        <v>213</v>
      </c>
      <c r="D34" s="124">
        <v>3</v>
      </c>
      <c r="E34" s="124" t="s">
        <v>159</v>
      </c>
      <c r="F34" s="123" t="s">
        <v>214</v>
      </c>
    </row>
    <row r="35" spans="1:7" x14ac:dyDescent="0.45">
      <c r="A35" s="120">
        <v>29</v>
      </c>
      <c r="B35" s="123" t="s">
        <v>42</v>
      </c>
      <c r="C35" s="123" t="s">
        <v>215</v>
      </c>
      <c r="D35" s="124">
        <v>3</v>
      </c>
      <c r="E35" s="124" t="s">
        <v>159</v>
      </c>
      <c r="F35" s="123" t="s">
        <v>214</v>
      </c>
    </row>
    <row r="36" spans="1:7" x14ac:dyDescent="0.45">
      <c r="A36" s="120">
        <v>30</v>
      </c>
      <c r="B36" s="123" t="s">
        <v>42</v>
      </c>
      <c r="C36" s="123" t="s">
        <v>216</v>
      </c>
      <c r="D36" s="124">
        <v>3</v>
      </c>
      <c r="E36" s="124" t="s">
        <v>159</v>
      </c>
      <c r="F36" s="123" t="s">
        <v>217</v>
      </c>
    </row>
    <row r="37" spans="1:7" x14ac:dyDescent="0.45">
      <c r="A37" s="120">
        <v>31</v>
      </c>
      <c r="B37" s="123" t="s">
        <v>42</v>
      </c>
      <c r="C37" s="123" t="s">
        <v>218</v>
      </c>
      <c r="D37" s="124">
        <v>3</v>
      </c>
      <c r="E37" s="124" t="s">
        <v>159</v>
      </c>
      <c r="F37" s="123" t="s">
        <v>217</v>
      </c>
    </row>
    <row r="38" spans="1:7" x14ac:dyDescent="0.45">
      <c r="A38" s="120">
        <v>32</v>
      </c>
      <c r="B38" s="123" t="s">
        <v>44</v>
      </c>
      <c r="C38" s="123" t="s">
        <v>219</v>
      </c>
      <c r="D38" s="124">
        <v>3</v>
      </c>
      <c r="E38" s="124" t="s">
        <v>159</v>
      </c>
      <c r="F38" s="123" t="s">
        <v>167</v>
      </c>
    </row>
    <row r="39" spans="1:7" x14ac:dyDescent="0.45">
      <c r="A39" s="120">
        <v>33</v>
      </c>
      <c r="B39" s="123" t="s">
        <v>44</v>
      </c>
      <c r="C39" s="123" t="s">
        <v>220</v>
      </c>
      <c r="D39" s="124">
        <v>3</v>
      </c>
      <c r="E39" s="124" t="s">
        <v>159</v>
      </c>
      <c r="F39" s="123" t="s">
        <v>167</v>
      </c>
    </row>
    <row r="40" spans="1:7" x14ac:dyDescent="0.45">
      <c r="A40" s="120">
        <v>34</v>
      </c>
      <c r="B40" s="123" t="s">
        <v>44</v>
      </c>
      <c r="C40" s="123" t="s">
        <v>221</v>
      </c>
      <c r="D40" s="124">
        <v>3</v>
      </c>
      <c r="E40" s="124" t="s">
        <v>159</v>
      </c>
      <c r="F40" s="123" t="s">
        <v>222</v>
      </c>
    </row>
    <row r="41" spans="1:7" x14ac:dyDescent="0.45">
      <c r="A41" s="120">
        <v>35</v>
      </c>
      <c r="B41" s="123" t="s">
        <v>44</v>
      </c>
      <c r="C41" s="123" t="s">
        <v>223</v>
      </c>
      <c r="D41" s="124">
        <v>3</v>
      </c>
      <c r="E41" s="124" t="s">
        <v>159</v>
      </c>
      <c r="F41" s="123" t="s">
        <v>222</v>
      </c>
    </row>
    <row r="42" spans="1:7" x14ac:dyDescent="0.45">
      <c r="A42" s="120">
        <v>36</v>
      </c>
      <c r="B42" s="123" t="s">
        <v>44</v>
      </c>
      <c r="C42" s="123" t="s">
        <v>224</v>
      </c>
      <c r="D42" s="124">
        <v>3</v>
      </c>
      <c r="E42" s="124" t="s">
        <v>159</v>
      </c>
      <c r="F42" s="123" t="s">
        <v>225</v>
      </c>
    </row>
    <row r="43" spans="1:7" x14ac:dyDescent="0.45">
      <c r="A43" s="120">
        <v>37</v>
      </c>
      <c r="B43" s="125" t="s">
        <v>44</v>
      </c>
      <c r="C43" s="125" t="s">
        <v>226</v>
      </c>
      <c r="D43" s="126">
        <v>3</v>
      </c>
      <c r="E43" s="126" t="s">
        <v>159</v>
      </c>
      <c r="F43" s="125" t="s">
        <v>222</v>
      </c>
    </row>
    <row r="44" spans="1:7" ht="18" x14ac:dyDescent="0.55000000000000004">
      <c r="A44" s="120">
        <v>38</v>
      </c>
      <c r="B44" s="127" t="s">
        <v>44</v>
      </c>
      <c r="C44" s="127" t="s">
        <v>227</v>
      </c>
      <c r="D44" s="128">
        <v>3</v>
      </c>
      <c r="E44" s="128" t="s">
        <v>159</v>
      </c>
      <c r="F44" s="127" t="s">
        <v>222</v>
      </c>
    </row>
    <row r="45" spans="1:7" x14ac:dyDescent="0.45">
      <c r="A45" s="120">
        <v>39</v>
      </c>
      <c r="B45" s="131" t="s">
        <v>64</v>
      </c>
      <c r="C45" s="131" t="s">
        <v>228</v>
      </c>
      <c r="D45" s="132">
        <v>3</v>
      </c>
      <c r="E45" s="132" t="s">
        <v>229</v>
      </c>
      <c r="F45" s="131" t="s">
        <v>230</v>
      </c>
      <c r="G45" s="120" t="s">
        <v>225</v>
      </c>
    </row>
    <row r="46" spans="1:7" x14ac:dyDescent="0.45">
      <c r="A46" s="120">
        <v>40</v>
      </c>
      <c r="B46" s="131" t="s">
        <v>64</v>
      </c>
      <c r="C46" s="131" t="s">
        <v>231</v>
      </c>
      <c r="D46" s="132">
        <v>3</v>
      </c>
      <c r="E46" s="132" t="s">
        <v>229</v>
      </c>
      <c r="F46" s="131" t="s">
        <v>230</v>
      </c>
      <c r="G46" s="120" t="s">
        <v>225</v>
      </c>
    </row>
    <row r="47" spans="1:7" x14ac:dyDescent="0.45">
      <c r="A47" s="120">
        <v>41</v>
      </c>
      <c r="B47" s="131" t="s">
        <v>64</v>
      </c>
      <c r="C47" s="131" t="s">
        <v>232</v>
      </c>
      <c r="D47" s="132">
        <v>3</v>
      </c>
      <c r="E47" s="132" t="s">
        <v>229</v>
      </c>
      <c r="F47" s="131" t="s">
        <v>230</v>
      </c>
      <c r="G47" s="120" t="s">
        <v>225</v>
      </c>
    </row>
    <row r="48" spans="1:7" x14ac:dyDescent="0.45">
      <c r="A48" s="120">
        <v>42</v>
      </c>
      <c r="B48" s="131" t="s">
        <v>64</v>
      </c>
      <c r="C48" s="131" t="s">
        <v>233</v>
      </c>
      <c r="D48" s="132">
        <v>3</v>
      </c>
      <c r="E48" s="132" t="s">
        <v>229</v>
      </c>
      <c r="F48" s="131" t="s">
        <v>230</v>
      </c>
      <c r="G48" s="120" t="s">
        <v>225</v>
      </c>
    </row>
    <row r="49" spans="1:6" x14ac:dyDescent="0.45">
      <c r="A49" s="120">
        <v>43</v>
      </c>
      <c r="B49" s="131" t="s">
        <v>64</v>
      </c>
      <c r="C49" s="131" t="s">
        <v>234</v>
      </c>
      <c r="D49" s="132">
        <v>3</v>
      </c>
      <c r="E49" s="132" t="s">
        <v>229</v>
      </c>
      <c r="F49" s="131" t="s">
        <v>235</v>
      </c>
    </row>
    <row r="50" spans="1:6" x14ac:dyDescent="0.45">
      <c r="A50" s="120">
        <v>44</v>
      </c>
      <c r="B50" s="131" t="s">
        <v>66</v>
      </c>
      <c r="C50" s="131" t="s">
        <v>236</v>
      </c>
      <c r="D50" s="132">
        <v>3</v>
      </c>
      <c r="E50" s="132" t="s">
        <v>229</v>
      </c>
      <c r="F50" s="131" t="s">
        <v>237</v>
      </c>
    </row>
    <row r="51" spans="1:6" x14ac:dyDescent="0.45">
      <c r="A51" s="120">
        <v>45</v>
      </c>
      <c r="B51" s="131" t="s">
        <v>66</v>
      </c>
      <c r="C51" s="131" t="s">
        <v>238</v>
      </c>
      <c r="D51" s="132">
        <v>3</v>
      </c>
      <c r="E51" s="132" t="s">
        <v>229</v>
      </c>
      <c r="F51" s="131" t="s">
        <v>237</v>
      </c>
    </row>
    <row r="52" spans="1:6" ht="18" x14ac:dyDescent="0.55000000000000004">
      <c r="A52" s="120">
        <v>46</v>
      </c>
      <c r="B52" s="127" t="s">
        <v>66</v>
      </c>
      <c r="C52" s="127" t="s">
        <v>239</v>
      </c>
      <c r="D52" s="128">
        <v>3</v>
      </c>
      <c r="E52" s="128" t="s">
        <v>229</v>
      </c>
      <c r="F52" s="127" t="s">
        <v>237</v>
      </c>
    </row>
    <row r="53" spans="1:6" x14ac:dyDescent="0.45">
      <c r="A53" s="120">
        <v>47</v>
      </c>
      <c r="B53" s="122" t="s">
        <v>66</v>
      </c>
      <c r="C53" s="122" t="s">
        <v>240</v>
      </c>
      <c r="D53" s="130">
        <v>3</v>
      </c>
      <c r="E53" s="130" t="s">
        <v>229</v>
      </c>
      <c r="F53" s="122" t="s">
        <v>237</v>
      </c>
    </row>
    <row r="54" spans="1:6" x14ac:dyDescent="0.45">
      <c r="A54" s="120">
        <v>48</v>
      </c>
      <c r="B54" s="131" t="s">
        <v>66</v>
      </c>
      <c r="C54" s="131" t="s">
        <v>241</v>
      </c>
      <c r="D54" s="132">
        <v>3</v>
      </c>
      <c r="E54" s="132" t="s">
        <v>229</v>
      </c>
      <c r="F54" s="131" t="s">
        <v>242</v>
      </c>
    </row>
    <row r="55" spans="1:6" x14ac:dyDescent="0.45">
      <c r="A55" s="120">
        <v>49</v>
      </c>
      <c r="B55" s="131" t="s">
        <v>68</v>
      </c>
      <c r="C55" s="131" t="s">
        <v>243</v>
      </c>
      <c r="D55" s="132">
        <v>2</v>
      </c>
      <c r="E55" s="132" t="s">
        <v>229</v>
      </c>
      <c r="F55" s="131" t="s">
        <v>244</v>
      </c>
    </row>
    <row r="56" spans="1:6" x14ac:dyDescent="0.45">
      <c r="A56" s="120">
        <v>50</v>
      </c>
      <c r="B56" s="131" t="s">
        <v>68</v>
      </c>
      <c r="C56" s="131" t="s">
        <v>245</v>
      </c>
      <c r="D56" s="132">
        <v>2</v>
      </c>
      <c r="E56" s="132" t="s">
        <v>229</v>
      </c>
      <c r="F56" s="131" t="s">
        <v>244</v>
      </c>
    </row>
    <row r="57" spans="1:6" x14ac:dyDescent="0.45">
      <c r="A57" s="120">
        <v>51</v>
      </c>
      <c r="B57" s="131" t="s">
        <v>68</v>
      </c>
      <c r="C57" s="131" t="s">
        <v>246</v>
      </c>
      <c r="D57" s="132">
        <v>2</v>
      </c>
      <c r="E57" s="132" t="s">
        <v>229</v>
      </c>
      <c r="F57" s="131" t="s">
        <v>244</v>
      </c>
    </row>
    <row r="58" spans="1:6" ht="18" x14ac:dyDescent="0.55000000000000004">
      <c r="A58" s="120">
        <v>52</v>
      </c>
      <c r="B58" s="127" t="s">
        <v>68</v>
      </c>
      <c r="C58" s="127" t="s">
        <v>247</v>
      </c>
      <c r="D58" s="128">
        <v>2</v>
      </c>
      <c r="E58" s="128" t="s">
        <v>229</v>
      </c>
      <c r="F58" s="127" t="s">
        <v>244</v>
      </c>
    </row>
    <row r="59" spans="1:6" ht="18" x14ac:dyDescent="0.55000000000000004">
      <c r="A59" s="120">
        <v>53</v>
      </c>
      <c r="B59" s="127" t="s">
        <v>68</v>
      </c>
      <c r="C59" s="127" t="s">
        <v>248</v>
      </c>
      <c r="D59" s="128">
        <v>2</v>
      </c>
      <c r="E59" s="128" t="s">
        <v>229</v>
      </c>
      <c r="F59" s="127" t="s">
        <v>244</v>
      </c>
    </row>
    <row r="60" spans="1:6" x14ac:dyDescent="0.45">
      <c r="A60" s="120">
        <v>54</v>
      </c>
      <c r="B60" s="125" t="s">
        <v>70</v>
      </c>
      <c r="C60" s="125" t="s">
        <v>249</v>
      </c>
      <c r="D60" s="126">
        <v>3</v>
      </c>
      <c r="E60" s="126" t="s">
        <v>229</v>
      </c>
      <c r="F60" s="125" t="s">
        <v>250</v>
      </c>
    </row>
    <row r="61" spans="1:6" x14ac:dyDescent="0.45">
      <c r="A61" s="120">
        <v>55</v>
      </c>
      <c r="B61" s="125" t="s">
        <v>70</v>
      </c>
      <c r="C61" s="125" t="s">
        <v>251</v>
      </c>
      <c r="D61" s="126">
        <v>3</v>
      </c>
      <c r="E61" s="126" t="s">
        <v>229</v>
      </c>
      <c r="F61" s="125" t="s">
        <v>250</v>
      </c>
    </row>
    <row r="62" spans="1:6" x14ac:dyDescent="0.45">
      <c r="A62" s="120">
        <v>56</v>
      </c>
      <c r="B62" s="123" t="s">
        <v>70</v>
      </c>
      <c r="C62" s="123" t="s">
        <v>252</v>
      </c>
      <c r="D62" s="124">
        <v>3</v>
      </c>
      <c r="E62" s="124" t="s">
        <v>229</v>
      </c>
      <c r="F62" s="123" t="s">
        <v>160</v>
      </c>
    </row>
    <row r="63" spans="1:6" x14ac:dyDescent="0.45">
      <c r="A63" s="120">
        <v>58</v>
      </c>
      <c r="B63" s="125" t="s">
        <v>70</v>
      </c>
      <c r="C63" s="125" t="s">
        <v>253</v>
      </c>
      <c r="D63" s="126">
        <v>3</v>
      </c>
      <c r="E63" s="126" t="s">
        <v>229</v>
      </c>
      <c r="F63" s="125" t="s">
        <v>254</v>
      </c>
    </row>
    <row r="64" spans="1:6" x14ac:dyDescent="0.45">
      <c r="A64" s="120">
        <v>59</v>
      </c>
      <c r="B64" s="125" t="s">
        <v>70</v>
      </c>
      <c r="C64" s="125" t="s">
        <v>255</v>
      </c>
      <c r="D64" s="126">
        <v>3</v>
      </c>
      <c r="E64" s="126" t="s">
        <v>229</v>
      </c>
      <c r="F64" s="125" t="s">
        <v>254</v>
      </c>
    </row>
    <row r="65" spans="1:6" x14ac:dyDescent="0.45">
      <c r="A65" s="120">
        <v>60</v>
      </c>
      <c r="B65" s="125" t="s">
        <v>73</v>
      </c>
      <c r="C65" s="125" t="s">
        <v>256</v>
      </c>
      <c r="D65" s="126">
        <v>3</v>
      </c>
      <c r="E65" s="126" t="s">
        <v>229</v>
      </c>
      <c r="F65" s="125" t="s">
        <v>257</v>
      </c>
    </row>
    <row r="66" spans="1:6" x14ac:dyDescent="0.45">
      <c r="A66" s="120">
        <v>61</v>
      </c>
      <c r="B66" s="125" t="s">
        <v>73</v>
      </c>
      <c r="C66" s="125" t="s">
        <v>258</v>
      </c>
      <c r="D66" s="126">
        <v>3</v>
      </c>
      <c r="E66" s="126" t="s">
        <v>229</v>
      </c>
      <c r="F66" s="125" t="s">
        <v>257</v>
      </c>
    </row>
    <row r="67" spans="1:6" x14ac:dyDescent="0.45">
      <c r="A67" s="120">
        <v>62</v>
      </c>
      <c r="B67" s="125" t="s">
        <v>73</v>
      </c>
      <c r="C67" s="125" t="s">
        <v>259</v>
      </c>
      <c r="D67" s="126">
        <v>3</v>
      </c>
      <c r="E67" s="126" t="s">
        <v>229</v>
      </c>
      <c r="F67" s="125" t="s">
        <v>257</v>
      </c>
    </row>
    <row r="68" spans="1:6" x14ac:dyDescent="0.45">
      <c r="A68" s="120">
        <v>63</v>
      </c>
      <c r="B68" s="125" t="s">
        <v>73</v>
      </c>
      <c r="C68" s="125" t="s">
        <v>260</v>
      </c>
      <c r="D68" s="126">
        <v>3</v>
      </c>
      <c r="E68" s="126" t="s">
        <v>229</v>
      </c>
      <c r="F68" s="125" t="s">
        <v>257</v>
      </c>
    </row>
    <row r="69" spans="1:6" x14ac:dyDescent="0.45">
      <c r="A69" s="120">
        <v>64</v>
      </c>
      <c r="B69" s="131" t="s">
        <v>73</v>
      </c>
      <c r="C69" s="131" t="s">
        <v>261</v>
      </c>
      <c r="D69" s="132">
        <v>3</v>
      </c>
      <c r="E69" s="132" t="s">
        <v>229</v>
      </c>
      <c r="F69" s="131" t="s">
        <v>262</v>
      </c>
    </row>
    <row r="70" spans="1:6" x14ac:dyDescent="0.45">
      <c r="A70" s="120">
        <v>65</v>
      </c>
      <c r="B70" s="131" t="s">
        <v>73</v>
      </c>
      <c r="C70" s="131" t="s">
        <v>263</v>
      </c>
      <c r="D70" s="132">
        <v>3</v>
      </c>
      <c r="E70" s="132" t="s">
        <v>229</v>
      </c>
      <c r="F70" s="131" t="s">
        <v>262</v>
      </c>
    </row>
    <row r="71" spans="1:6" x14ac:dyDescent="0.45">
      <c r="A71" s="120">
        <v>66</v>
      </c>
      <c r="B71" s="131" t="s">
        <v>75</v>
      </c>
      <c r="C71" s="131" t="s">
        <v>264</v>
      </c>
      <c r="D71" s="132">
        <v>3</v>
      </c>
      <c r="E71" s="132" t="s">
        <v>229</v>
      </c>
      <c r="F71" s="131" t="s">
        <v>265</v>
      </c>
    </row>
    <row r="72" spans="1:6" x14ac:dyDescent="0.45">
      <c r="A72" s="120">
        <v>67</v>
      </c>
      <c r="B72" s="131" t="s">
        <v>75</v>
      </c>
      <c r="C72" s="131" t="s">
        <v>266</v>
      </c>
      <c r="D72" s="132">
        <v>3</v>
      </c>
      <c r="E72" s="132" t="s">
        <v>229</v>
      </c>
      <c r="F72" s="131" t="s">
        <v>265</v>
      </c>
    </row>
    <row r="73" spans="1:6" x14ac:dyDescent="0.45">
      <c r="A73" s="120">
        <v>68</v>
      </c>
      <c r="B73" s="131" t="s">
        <v>75</v>
      </c>
      <c r="C73" s="131" t="s">
        <v>267</v>
      </c>
      <c r="D73" s="132">
        <v>3</v>
      </c>
      <c r="E73" s="132" t="s">
        <v>229</v>
      </c>
      <c r="F73" s="131" t="s">
        <v>265</v>
      </c>
    </row>
    <row r="74" spans="1:6" x14ac:dyDescent="0.45">
      <c r="A74" s="120">
        <v>69</v>
      </c>
      <c r="B74" s="123" t="s">
        <v>75</v>
      </c>
      <c r="C74" s="123" t="s">
        <v>268</v>
      </c>
      <c r="D74" s="124">
        <v>3</v>
      </c>
      <c r="E74" s="124" t="s">
        <v>229</v>
      </c>
      <c r="F74" s="123" t="s">
        <v>217</v>
      </c>
    </row>
    <row r="75" spans="1:6" x14ac:dyDescent="0.45">
      <c r="A75" s="120">
        <v>70</v>
      </c>
      <c r="B75" s="123" t="s">
        <v>75</v>
      </c>
      <c r="C75" s="123" t="s">
        <v>269</v>
      </c>
      <c r="D75" s="124">
        <v>3</v>
      </c>
      <c r="E75" s="124" t="s">
        <v>229</v>
      </c>
      <c r="F75" s="123" t="s">
        <v>217</v>
      </c>
    </row>
    <row r="76" spans="1:6" x14ac:dyDescent="0.45">
      <c r="A76" s="120">
        <v>71</v>
      </c>
      <c r="B76" s="133" t="s">
        <v>75</v>
      </c>
      <c r="C76" s="133" t="s">
        <v>270</v>
      </c>
      <c r="D76" s="134">
        <v>3</v>
      </c>
      <c r="E76" s="134" t="s">
        <v>229</v>
      </c>
      <c r="F76" s="133" t="s">
        <v>265</v>
      </c>
    </row>
    <row r="77" spans="1:6" ht="18" x14ac:dyDescent="0.55000000000000004">
      <c r="A77" s="120">
        <v>72</v>
      </c>
      <c r="B77" s="127" t="s">
        <v>77</v>
      </c>
      <c r="C77" s="127" t="s">
        <v>271</v>
      </c>
      <c r="D77" s="128">
        <v>3</v>
      </c>
      <c r="E77" s="128" t="s">
        <v>229</v>
      </c>
      <c r="F77" s="127" t="s">
        <v>272</v>
      </c>
    </row>
    <row r="78" spans="1:6" ht="18" x14ac:dyDescent="0.55000000000000004">
      <c r="A78" s="120">
        <v>73</v>
      </c>
      <c r="B78" s="127" t="s">
        <v>77</v>
      </c>
      <c r="C78" s="127" t="s">
        <v>273</v>
      </c>
      <c r="D78" s="128">
        <v>3</v>
      </c>
      <c r="E78" s="128" t="s">
        <v>229</v>
      </c>
      <c r="F78" s="127" t="s">
        <v>272</v>
      </c>
    </row>
    <row r="79" spans="1:6" x14ac:dyDescent="0.45">
      <c r="A79" s="120">
        <v>74</v>
      </c>
      <c r="B79" s="131" t="s">
        <v>77</v>
      </c>
      <c r="C79" s="131" t="s">
        <v>274</v>
      </c>
      <c r="D79" s="132">
        <v>3</v>
      </c>
      <c r="E79" s="132" t="s">
        <v>229</v>
      </c>
      <c r="F79" s="131" t="s">
        <v>250</v>
      </c>
    </row>
    <row r="80" spans="1:6" x14ac:dyDescent="0.45">
      <c r="A80" s="120">
        <v>75</v>
      </c>
      <c r="B80" s="131" t="s">
        <v>77</v>
      </c>
      <c r="C80" s="131" t="s">
        <v>275</v>
      </c>
      <c r="D80" s="132">
        <v>3</v>
      </c>
      <c r="E80" s="132" t="s">
        <v>229</v>
      </c>
      <c r="F80" s="131" t="s">
        <v>250</v>
      </c>
    </row>
    <row r="81" spans="1:7" ht="18" x14ac:dyDescent="0.55000000000000004">
      <c r="A81" s="120">
        <v>76</v>
      </c>
      <c r="B81" s="127" t="s">
        <v>77</v>
      </c>
      <c r="C81" s="127" t="s">
        <v>276</v>
      </c>
      <c r="D81" s="128">
        <v>3</v>
      </c>
      <c r="E81" s="128" t="s">
        <v>229</v>
      </c>
      <c r="F81" s="127" t="s">
        <v>262</v>
      </c>
    </row>
    <row r="82" spans="1:7" ht="18" x14ac:dyDescent="0.55000000000000004">
      <c r="A82" s="120">
        <v>77</v>
      </c>
      <c r="B82" s="127" t="s">
        <v>77</v>
      </c>
      <c r="C82" s="127" t="s">
        <v>277</v>
      </c>
      <c r="D82" s="128">
        <v>3</v>
      </c>
      <c r="E82" s="128" t="s">
        <v>229</v>
      </c>
      <c r="F82" s="127" t="s">
        <v>262</v>
      </c>
    </row>
    <row r="83" spans="1:7" ht="18" x14ac:dyDescent="0.55000000000000004">
      <c r="A83" s="120">
        <v>78</v>
      </c>
      <c r="B83" s="127" t="s">
        <v>104</v>
      </c>
      <c r="C83" s="127" t="s">
        <v>278</v>
      </c>
      <c r="D83" s="128">
        <v>2</v>
      </c>
      <c r="E83" s="128" t="s">
        <v>279</v>
      </c>
      <c r="F83" s="127" t="s">
        <v>198</v>
      </c>
      <c r="G83" s="120" t="s">
        <v>197</v>
      </c>
    </row>
    <row r="84" spans="1:7" ht="18" x14ac:dyDescent="0.55000000000000004">
      <c r="A84" s="120">
        <v>79</v>
      </c>
      <c r="B84" s="127" t="s">
        <v>104</v>
      </c>
      <c r="C84" s="127" t="s">
        <v>280</v>
      </c>
      <c r="D84" s="128">
        <v>2</v>
      </c>
      <c r="E84" s="128" t="s">
        <v>279</v>
      </c>
      <c r="F84" s="127" t="s">
        <v>198</v>
      </c>
      <c r="G84" s="120" t="s">
        <v>197</v>
      </c>
    </row>
    <row r="85" spans="1:7" ht="18" x14ac:dyDescent="0.55000000000000004">
      <c r="A85" s="120">
        <v>80</v>
      </c>
      <c r="B85" s="127" t="s">
        <v>104</v>
      </c>
      <c r="C85" s="127" t="s">
        <v>281</v>
      </c>
      <c r="D85" s="128">
        <v>2</v>
      </c>
      <c r="E85" s="128" t="s">
        <v>279</v>
      </c>
      <c r="F85" s="127" t="s">
        <v>282</v>
      </c>
    </row>
    <row r="86" spans="1:7" ht="18" x14ac:dyDescent="0.55000000000000004">
      <c r="A86" s="120">
        <v>81</v>
      </c>
      <c r="B86" s="127" t="s">
        <v>104</v>
      </c>
      <c r="C86" s="127" t="s">
        <v>283</v>
      </c>
      <c r="D86" s="128">
        <v>2</v>
      </c>
      <c r="E86" s="128" t="s">
        <v>279</v>
      </c>
      <c r="F86" s="127" t="s">
        <v>282</v>
      </c>
    </row>
    <row r="87" spans="1:7" ht="18" x14ac:dyDescent="0.55000000000000004">
      <c r="A87" s="120">
        <v>82</v>
      </c>
      <c r="B87" s="127" t="s">
        <v>104</v>
      </c>
      <c r="C87" s="127" t="s">
        <v>284</v>
      </c>
      <c r="D87" s="128">
        <v>2</v>
      </c>
      <c r="E87" s="128" t="s">
        <v>279</v>
      </c>
      <c r="F87" s="127" t="s">
        <v>282</v>
      </c>
    </row>
    <row r="88" spans="1:7" ht="18" x14ac:dyDescent="0.55000000000000004">
      <c r="B88" s="127" t="s">
        <v>104</v>
      </c>
      <c r="C88" s="127" t="s">
        <v>285</v>
      </c>
      <c r="D88" s="128">
        <v>2</v>
      </c>
      <c r="E88" s="128" t="s">
        <v>279</v>
      </c>
      <c r="F88" s="127" t="s">
        <v>198</v>
      </c>
      <c r="G88" s="120" t="s">
        <v>197</v>
      </c>
    </row>
    <row r="89" spans="1:7" x14ac:dyDescent="0.45">
      <c r="A89" s="120">
        <v>83</v>
      </c>
      <c r="B89" s="133" t="s">
        <v>106</v>
      </c>
      <c r="C89" s="133" t="s">
        <v>286</v>
      </c>
      <c r="D89" s="134">
        <v>3</v>
      </c>
      <c r="E89" s="134" t="s">
        <v>279</v>
      </c>
      <c r="F89" s="133" t="s">
        <v>287</v>
      </c>
    </row>
    <row r="90" spans="1:7" x14ac:dyDescent="0.45">
      <c r="A90" s="120">
        <v>84</v>
      </c>
      <c r="B90" s="133" t="s">
        <v>106</v>
      </c>
      <c r="C90" s="133" t="s">
        <v>288</v>
      </c>
      <c r="D90" s="134">
        <v>3</v>
      </c>
      <c r="E90" s="134" t="s">
        <v>279</v>
      </c>
      <c r="F90" s="133" t="s">
        <v>254</v>
      </c>
    </row>
    <row r="91" spans="1:7" x14ac:dyDescent="0.45">
      <c r="A91" s="120">
        <v>85</v>
      </c>
      <c r="B91" s="133" t="s">
        <v>106</v>
      </c>
      <c r="C91" s="133" t="s">
        <v>289</v>
      </c>
      <c r="D91" s="134">
        <v>3</v>
      </c>
      <c r="E91" s="134" t="s">
        <v>279</v>
      </c>
      <c r="F91" s="133" t="s">
        <v>254</v>
      </c>
    </row>
    <row r="92" spans="1:7" x14ac:dyDescent="0.45">
      <c r="A92" s="120">
        <v>86</v>
      </c>
      <c r="B92" s="131" t="s">
        <v>106</v>
      </c>
      <c r="C92" s="131" t="s">
        <v>290</v>
      </c>
      <c r="D92" s="132">
        <v>3</v>
      </c>
      <c r="E92" s="132" t="s">
        <v>279</v>
      </c>
      <c r="F92" s="131" t="s">
        <v>272</v>
      </c>
    </row>
    <row r="93" spans="1:7" x14ac:dyDescent="0.45">
      <c r="A93" s="120">
        <v>87</v>
      </c>
      <c r="B93" s="131" t="s">
        <v>106</v>
      </c>
      <c r="C93" s="131" t="s">
        <v>291</v>
      </c>
      <c r="D93" s="132">
        <v>3</v>
      </c>
      <c r="E93" s="132" t="s">
        <v>279</v>
      </c>
      <c r="F93" s="131" t="s">
        <v>272</v>
      </c>
    </row>
    <row r="94" spans="1:7" x14ac:dyDescent="0.45">
      <c r="A94" s="120">
        <v>88</v>
      </c>
      <c r="B94" s="131" t="s">
        <v>108</v>
      </c>
      <c r="C94" s="131" t="s">
        <v>292</v>
      </c>
      <c r="D94" s="132">
        <v>3</v>
      </c>
      <c r="E94" s="132" t="s">
        <v>279</v>
      </c>
      <c r="F94" s="131" t="s">
        <v>210</v>
      </c>
    </row>
    <row r="95" spans="1:7" x14ac:dyDescent="0.45">
      <c r="A95" s="120">
        <v>89</v>
      </c>
      <c r="B95" s="125" t="s">
        <v>108</v>
      </c>
      <c r="C95" s="125" t="s">
        <v>293</v>
      </c>
      <c r="D95" s="126">
        <v>3</v>
      </c>
      <c r="E95" s="126" t="s">
        <v>279</v>
      </c>
      <c r="F95" s="125" t="s">
        <v>225</v>
      </c>
    </row>
    <row r="96" spans="1:7" x14ac:dyDescent="0.45">
      <c r="A96" s="120">
        <v>90</v>
      </c>
      <c r="B96" s="125" t="s">
        <v>108</v>
      </c>
      <c r="C96" s="125" t="s">
        <v>294</v>
      </c>
      <c r="D96" s="126">
        <v>3</v>
      </c>
      <c r="E96" s="126" t="s">
        <v>279</v>
      </c>
      <c r="F96" s="125" t="s">
        <v>225</v>
      </c>
    </row>
    <row r="97" spans="1:6" x14ac:dyDescent="0.45">
      <c r="A97" s="120">
        <v>91</v>
      </c>
      <c r="B97" s="125" t="s">
        <v>108</v>
      </c>
      <c r="C97" s="125" t="s">
        <v>295</v>
      </c>
      <c r="D97" s="126">
        <v>3</v>
      </c>
      <c r="E97" s="126" t="s">
        <v>279</v>
      </c>
      <c r="F97" s="125" t="s">
        <v>225</v>
      </c>
    </row>
    <row r="98" spans="1:6" x14ac:dyDescent="0.45">
      <c r="A98" s="120">
        <v>92</v>
      </c>
      <c r="B98" s="131" t="s">
        <v>108</v>
      </c>
      <c r="C98" s="131" t="s">
        <v>296</v>
      </c>
      <c r="D98" s="132">
        <v>3</v>
      </c>
      <c r="E98" s="132" t="s">
        <v>279</v>
      </c>
      <c r="F98" s="131" t="s">
        <v>244</v>
      </c>
    </row>
    <row r="99" spans="1:6" x14ac:dyDescent="0.45">
      <c r="A99" s="120">
        <v>93</v>
      </c>
      <c r="B99" s="125" t="s">
        <v>111</v>
      </c>
      <c r="C99" s="125" t="s">
        <v>297</v>
      </c>
      <c r="D99" s="126">
        <v>3</v>
      </c>
      <c r="E99" s="126" t="s">
        <v>279</v>
      </c>
      <c r="F99" s="125" t="s">
        <v>298</v>
      </c>
    </row>
    <row r="100" spans="1:6" x14ac:dyDescent="0.45">
      <c r="A100" s="120">
        <v>94</v>
      </c>
      <c r="B100" s="125" t="s">
        <v>111</v>
      </c>
      <c r="C100" s="125" t="s">
        <v>299</v>
      </c>
      <c r="D100" s="126">
        <v>3</v>
      </c>
      <c r="E100" s="126" t="s">
        <v>279</v>
      </c>
      <c r="F100" s="125" t="s">
        <v>298</v>
      </c>
    </row>
    <row r="101" spans="1:6" x14ac:dyDescent="0.45">
      <c r="A101" s="120">
        <v>95</v>
      </c>
      <c r="B101" s="125" t="s">
        <v>111</v>
      </c>
      <c r="C101" s="125" t="s">
        <v>300</v>
      </c>
      <c r="D101" s="126">
        <v>3</v>
      </c>
      <c r="E101" s="126" t="s">
        <v>279</v>
      </c>
      <c r="F101" s="125" t="s">
        <v>298</v>
      </c>
    </row>
    <row r="102" spans="1:6" x14ac:dyDescent="0.45">
      <c r="A102" s="120">
        <v>96</v>
      </c>
      <c r="B102" s="125" t="s">
        <v>111</v>
      </c>
      <c r="C102" s="125" t="s">
        <v>301</v>
      </c>
      <c r="D102" s="126">
        <v>3</v>
      </c>
      <c r="E102" s="126" t="s">
        <v>279</v>
      </c>
      <c r="F102" s="125" t="s">
        <v>298</v>
      </c>
    </row>
    <row r="103" spans="1:6" x14ac:dyDescent="0.45">
      <c r="A103" s="120">
        <v>97</v>
      </c>
      <c r="B103" s="131" t="s">
        <v>111</v>
      </c>
      <c r="C103" s="131" t="s">
        <v>302</v>
      </c>
      <c r="D103" s="132">
        <v>3</v>
      </c>
      <c r="E103" s="132" t="s">
        <v>279</v>
      </c>
      <c r="F103" s="131" t="s">
        <v>303</v>
      </c>
    </row>
    <row r="104" spans="1:6" x14ac:dyDescent="0.45">
      <c r="A104" s="120">
        <v>98</v>
      </c>
      <c r="B104" s="131" t="s">
        <v>111</v>
      </c>
      <c r="C104" s="131" t="s">
        <v>304</v>
      </c>
      <c r="D104" s="132">
        <v>3</v>
      </c>
      <c r="E104" s="132" t="s">
        <v>279</v>
      </c>
      <c r="F104" s="131" t="s">
        <v>303</v>
      </c>
    </row>
    <row r="105" spans="1:6" x14ac:dyDescent="0.45">
      <c r="A105" s="120">
        <v>99</v>
      </c>
      <c r="B105" s="131" t="s">
        <v>113</v>
      </c>
      <c r="C105" s="131" t="s">
        <v>305</v>
      </c>
      <c r="D105" s="132">
        <v>3</v>
      </c>
      <c r="E105" s="132" t="s">
        <v>279</v>
      </c>
      <c r="F105" s="131" t="s">
        <v>214</v>
      </c>
    </row>
    <row r="106" spans="1:6" x14ac:dyDescent="0.45">
      <c r="A106" s="120">
        <v>100</v>
      </c>
      <c r="B106" s="131" t="s">
        <v>113</v>
      </c>
      <c r="C106" s="131" t="s">
        <v>306</v>
      </c>
      <c r="D106" s="132">
        <v>3</v>
      </c>
      <c r="E106" s="132" t="s">
        <v>279</v>
      </c>
      <c r="F106" s="131" t="s">
        <v>214</v>
      </c>
    </row>
    <row r="107" spans="1:6" ht="18" x14ac:dyDescent="0.55000000000000004">
      <c r="A107" s="120">
        <v>101</v>
      </c>
      <c r="B107" s="127" t="s">
        <v>113</v>
      </c>
      <c r="C107" s="127" t="s">
        <v>307</v>
      </c>
      <c r="D107" s="128">
        <v>3</v>
      </c>
      <c r="E107" s="128" t="s">
        <v>279</v>
      </c>
      <c r="F107" s="127" t="s">
        <v>308</v>
      </c>
    </row>
    <row r="108" spans="1:6" ht="18" x14ac:dyDescent="0.55000000000000004">
      <c r="A108" s="120">
        <v>102</v>
      </c>
      <c r="B108" s="127" t="s">
        <v>113</v>
      </c>
      <c r="C108" s="127" t="s">
        <v>309</v>
      </c>
      <c r="D108" s="128">
        <v>3</v>
      </c>
      <c r="E108" s="128" t="s">
        <v>279</v>
      </c>
      <c r="F108" s="127" t="s">
        <v>308</v>
      </c>
    </row>
    <row r="109" spans="1:6" x14ac:dyDescent="0.45">
      <c r="A109" s="120">
        <v>103</v>
      </c>
      <c r="B109" s="135" t="s">
        <v>113</v>
      </c>
      <c r="C109" s="135" t="s">
        <v>310</v>
      </c>
      <c r="D109" s="136">
        <v>3</v>
      </c>
      <c r="E109" s="136" t="s">
        <v>279</v>
      </c>
      <c r="F109" s="135" t="s">
        <v>303</v>
      </c>
    </row>
    <row r="110" spans="1:6" ht="18" x14ac:dyDescent="0.55000000000000004">
      <c r="A110" s="120">
        <v>104</v>
      </c>
      <c r="B110" s="127" t="s">
        <v>113</v>
      </c>
      <c r="C110" s="127" t="s">
        <v>311</v>
      </c>
      <c r="D110" s="128">
        <v>3</v>
      </c>
      <c r="E110" s="128" t="s">
        <v>279</v>
      </c>
      <c r="F110" s="127" t="s">
        <v>303</v>
      </c>
    </row>
    <row r="111" spans="1:6" x14ac:dyDescent="0.45">
      <c r="A111" s="120">
        <v>105</v>
      </c>
      <c r="B111" s="131" t="s">
        <v>116</v>
      </c>
      <c r="C111" s="131" t="s">
        <v>312</v>
      </c>
      <c r="D111" s="132">
        <v>3</v>
      </c>
      <c r="E111" s="132" t="s">
        <v>279</v>
      </c>
      <c r="F111" s="131" t="s">
        <v>287</v>
      </c>
    </row>
    <row r="112" spans="1:6" x14ac:dyDescent="0.45">
      <c r="A112" s="120">
        <v>106</v>
      </c>
      <c r="B112" s="131" t="s">
        <v>116</v>
      </c>
      <c r="C112" s="131" t="s">
        <v>313</v>
      </c>
      <c r="D112" s="132">
        <v>3</v>
      </c>
      <c r="E112" s="132" t="s">
        <v>279</v>
      </c>
      <c r="F112" s="131" t="s">
        <v>287</v>
      </c>
    </row>
    <row r="113" spans="1:6" x14ac:dyDescent="0.45">
      <c r="A113" s="120">
        <v>107</v>
      </c>
      <c r="B113" s="131" t="s">
        <v>116</v>
      </c>
      <c r="C113" s="131" t="s">
        <v>314</v>
      </c>
      <c r="D113" s="132">
        <v>3</v>
      </c>
      <c r="E113" s="132" t="s">
        <v>279</v>
      </c>
      <c r="F113" s="131" t="s">
        <v>287</v>
      </c>
    </row>
    <row r="114" spans="1:6" x14ac:dyDescent="0.45">
      <c r="B114" s="131" t="s">
        <v>116</v>
      </c>
      <c r="C114" s="131" t="s">
        <v>315</v>
      </c>
      <c r="D114" s="132">
        <v>3</v>
      </c>
      <c r="E114" s="132" t="s">
        <v>279</v>
      </c>
      <c r="F114" s="131"/>
    </row>
    <row r="115" spans="1:6" x14ac:dyDescent="0.45">
      <c r="A115" s="120">
        <v>108</v>
      </c>
      <c r="B115" s="133" t="s">
        <v>118</v>
      </c>
      <c r="C115" s="133" t="s">
        <v>316</v>
      </c>
      <c r="D115" s="134">
        <v>3</v>
      </c>
      <c r="E115" s="134" t="s">
        <v>279</v>
      </c>
      <c r="F115" s="133" t="s">
        <v>317</v>
      </c>
    </row>
    <row r="116" spans="1:6" x14ac:dyDescent="0.45">
      <c r="A116" s="120">
        <v>109</v>
      </c>
      <c r="B116" s="133" t="s">
        <v>118</v>
      </c>
      <c r="C116" s="133" t="s">
        <v>318</v>
      </c>
      <c r="D116" s="134">
        <v>3</v>
      </c>
      <c r="E116" s="134" t="s">
        <v>279</v>
      </c>
      <c r="F116" s="133" t="s">
        <v>317</v>
      </c>
    </row>
    <row r="117" spans="1:6" x14ac:dyDescent="0.45">
      <c r="A117" s="120">
        <v>110</v>
      </c>
      <c r="B117" s="133" t="s">
        <v>118</v>
      </c>
      <c r="C117" s="133" t="s">
        <v>319</v>
      </c>
      <c r="D117" s="134">
        <v>3</v>
      </c>
      <c r="E117" s="134" t="s">
        <v>279</v>
      </c>
      <c r="F117" s="133" t="s">
        <v>317</v>
      </c>
    </row>
    <row r="118" spans="1:6" x14ac:dyDescent="0.45">
      <c r="A118" s="120">
        <v>111</v>
      </c>
      <c r="B118" s="133" t="s">
        <v>118</v>
      </c>
      <c r="C118" s="133" t="s">
        <v>320</v>
      </c>
      <c r="D118" s="134">
        <v>3</v>
      </c>
      <c r="E118" s="134" t="s">
        <v>279</v>
      </c>
      <c r="F118" s="133" t="s">
        <v>317</v>
      </c>
    </row>
    <row r="119" spans="1:6" ht="18" x14ac:dyDescent="0.55000000000000004">
      <c r="A119" s="120">
        <v>113</v>
      </c>
      <c r="B119" s="127" t="s">
        <v>122</v>
      </c>
      <c r="C119" s="127" t="s">
        <v>321</v>
      </c>
      <c r="D119" s="128">
        <v>3</v>
      </c>
      <c r="E119" s="128" t="s">
        <v>279</v>
      </c>
      <c r="F119" s="127" t="s">
        <v>322</v>
      </c>
    </row>
    <row r="120" spans="1:6" x14ac:dyDescent="0.45">
      <c r="A120" s="120">
        <v>114</v>
      </c>
      <c r="B120" s="133" t="s">
        <v>125</v>
      </c>
      <c r="C120" s="133" t="s">
        <v>323</v>
      </c>
      <c r="D120" s="134">
        <v>3</v>
      </c>
      <c r="E120" s="134" t="s">
        <v>279</v>
      </c>
      <c r="F120" s="133" t="s">
        <v>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Roman,Biasa"&amp;12&amp;Kffffff&amp;A</oddHeader>
    <oddFooter>&amp;C&amp;"Times New Roman,Biasa"&amp;12&amp;KffffffPage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A177"/>
  <sheetViews>
    <sheetView tabSelected="1" topLeftCell="B130" zoomScale="95" zoomScaleNormal="95" workbookViewId="0">
      <selection activeCell="G152" sqref="G152"/>
    </sheetView>
  </sheetViews>
  <sheetFormatPr defaultColWidth="9.1328125" defaultRowHeight="14.25" x14ac:dyDescent="0.45"/>
  <cols>
    <col min="1" max="1" width="9.1328125" style="137"/>
    <col min="2" max="2" width="13.3984375" style="138" customWidth="1"/>
    <col min="3" max="3" width="10.265625" style="138" customWidth="1"/>
    <col min="4" max="4" width="47.796875" style="139" customWidth="1"/>
    <col min="5" max="5" width="6.53125" style="138" customWidth="1"/>
    <col min="6" max="6" width="7" style="138" customWidth="1"/>
    <col min="7" max="7" width="34.46484375" style="138" customWidth="1"/>
    <col min="8" max="10" width="5.86328125" style="140" customWidth="1"/>
    <col min="11" max="12" width="5.86328125" style="138" customWidth="1"/>
    <col min="13" max="13" width="5.86328125" style="140" customWidth="1"/>
    <col min="14" max="14" width="5.86328125" style="138" customWidth="1"/>
    <col min="15" max="16" width="5.86328125" style="140" customWidth="1"/>
    <col min="17" max="17" width="11.1328125" style="140" customWidth="1"/>
    <col min="18" max="16380" width="9.1328125" style="140"/>
    <col min="16381" max="16381" width="11.53125" style="140" customWidth="1"/>
    <col min="16382" max="16384" width="10.1328125" style="120" customWidth="1"/>
  </cols>
  <sheetData>
    <row r="1" spans="1:32" x14ac:dyDescent="0.45">
      <c r="A1" s="2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</row>
    <row r="2" spans="1:32" x14ac:dyDescent="0.45">
      <c r="A2" s="2" t="s">
        <v>325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</row>
    <row r="3" spans="1:32" x14ac:dyDescent="0.4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</row>
    <row r="4" spans="1:32" ht="14.25" customHeight="1" x14ac:dyDescent="0.45">
      <c r="A4" s="1" t="s">
        <v>326</v>
      </c>
      <c r="B4" s="186" t="s">
        <v>327</v>
      </c>
      <c r="C4" s="186" t="s">
        <v>328</v>
      </c>
      <c r="D4" s="186" t="s">
        <v>329</v>
      </c>
      <c r="E4" s="186" t="s">
        <v>6</v>
      </c>
      <c r="F4" s="186" t="s">
        <v>330</v>
      </c>
      <c r="G4" s="195" t="s">
        <v>367</v>
      </c>
      <c r="H4" s="186"/>
      <c r="I4" s="186"/>
      <c r="J4" s="186"/>
      <c r="K4" s="186"/>
      <c r="L4" s="186"/>
      <c r="M4" s="186"/>
      <c r="N4" s="186"/>
      <c r="O4" s="186"/>
      <c r="P4" s="196"/>
      <c r="Q4" s="203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</row>
    <row r="5" spans="1:32" ht="14.25" customHeight="1" x14ac:dyDescent="0.45">
      <c r="A5" s="1"/>
      <c r="B5" s="186"/>
      <c r="C5" s="186"/>
      <c r="D5" s="186"/>
      <c r="E5" s="186"/>
      <c r="F5" s="186"/>
      <c r="G5" s="195"/>
      <c r="H5" s="186" t="s">
        <v>331</v>
      </c>
      <c r="I5" s="186"/>
      <c r="J5" s="186"/>
      <c r="K5" s="186" t="s">
        <v>332</v>
      </c>
      <c r="L5" s="186"/>
      <c r="M5" s="186"/>
      <c r="N5" s="186"/>
      <c r="O5" s="187" t="s">
        <v>333</v>
      </c>
      <c r="P5" s="197"/>
      <c r="Q5" s="204" t="s">
        <v>368</v>
      </c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</row>
    <row r="6" spans="1:32" ht="14.25" customHeight="1" x14ac:dyDescent="0.45">
      <c r="A6" s="1"/>
      <c r="B6" s="186"/>
      <c r="C6" s="186"/>
      <c r="D6" s="186"/>
      <c r="E6" s="186"/>
      <c r="F6" s="186"/>
      <c r="G6" s="195"/>
      <c r="H6" s="143">
        <v>2</v>
      </c>
      <c r="I6" s="143">
        <v>3</v>
      </c>
      <c r="J6" s="143">
        <v>4</v>
      </c>
      <c r="K6" s="143" t="s">
        <v>334</v>
      </c>
      <c r="L6" s="143" t="s">
        <v>159</v>
      </c>
      <c r="M6" s="143" t="s">
        <v>335</v>
      </c>
      <c r="N6" s="143" t="s">
        <v>229</v>
      </c>
      <c r="O6" s="144" t="s">
        <v>336</v>
      </c>
      <c r="P6" s="198" t="s">
        <v>337</v>
      </c>
      <c r="Q6" s="203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</row>
    <row r="7" spans="1:32" ht="14.25" customHeight="1" x14ac:dyDescent="0.45">
      <c r="A7" s="188" t="s">
        <v>338</v>
      </c>
      <c r="B7" s="146" t="s">
        <v>339</v>
      </c>
      <c r="C7" s="147" t="s">
        <v>36</v>
      </c>
      <c r="D7" s="147" t="s">
        <v>177</v>
      </c>
      <c r="E7" s="148">
        <v>2</v>
      </c>
      <c r="F7" s="148" t="s">
        <v>159</v>
      </c>
      <c r="G7" s="147" t="s">
        <v>178</v>
      </c>
      <c r="H7" s="146" t="s">
        <v>340</v>
      </c>
      <c r="I7" s="146"/>
      <c r="J7" s="146"/>
      <c r="K7" s="149"/>
      <c r="L7" s="149"/>
      <c r="M7" s="150"/>
      <c r="N7" s="149"/>
      <c r="O7" s="151"/>
      <c r="P7" s="199"/>
      <c r="Q7" s="203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</row>
    <row r="8" spans="1:32" ht="14.25" customHeight="1" x14ac:dyDescent="0.45">
      <c r="A8" s="188"/>
      <c r="B8" s="146" t="s">
        <v>341</v>
      </c>
      <c r="C8" s="152" t="s">
        <v>36</v>
      </c>
      <c r="D8" s="152" t="s">
        <v>181</v>
      </c>
      <c r="E8" s="153">
        <v>2</v>
      </c>
      <c r="F8" s="153" t="s">
        <v>159</v>
      </c>
      <c r="G8" s="152" t="s">
        <v>178</v>
      </c>
      <c r="H8" s="146" t="s">
        <v>340</v>
      </c>
      <c r="I8" s="146"/>
      <c r="J8" s="146"/>
      <c r="K8" s="149"/>
      <c r="L8" s="149"/>
      <c r="M8" s="149"/>
      <c r="N8" s="149"/>
      <c r="O8" s="151"/>
      <c r="P8" s="200"/>
      <c r="Q8" s="203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</row>
    <row r="9" spans="1:32" ht="14.25" customHeight="1" x14ac:dyDescent="0.45">
      <c r="A9" s="188"/>
      <c r="B9" s="146" t="s">
        <v>342</v>
      </c>
      <c r="C9" s="152" t="s">
        <v>36</v>
      </c>
      <c r="D9" s="152" t="s">
        <v>184</v>
      </c>
      <c r="E9" s="153">
        <v>2</v>
      </c>
      <c r="F9" s="153" t="s">
        <v>159</v>
      </c>
      <c r="G9" s="152" t="s">
        <v>178</v>
      </c>
      <c r="H9" s="146" t="s">
        <v>340</v>
      </c>
      <c r="I9" s="146"/>
      <c r="J9" s="151"/>
      <c r="K9" s="149"/>
      <c r="L9" s="149"/>
      <c r="M9" s="149"/>
      <c r="N9" s="149"/>
      <c r="O9" s="151"/>
      <c r="P9" s="200"/>
      <c r="Q9" s="203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</row>
    <row r="10" spans="1:32" ht="14.25" customHeight="1" x14ac:dyDescent="0.45">
      <c r="A10" s="188"/>
      <c r="B10" s="146" t="s">
        <v>343</v>
      </c>
      <c r="C10" s="122" t="s">
        <v>34</v>
      </c>
      <c r="D10" s="122" t="s">
        <v>174</v>
      </c>
      <c r="E10" s="129">
        <v>3</v>
      </c>
      <c r="F10" s="129" t="s">
        <v>159</v>
      </c>
      <c r="G10" s="122" t="s">
        <v>175</v>
      </c>
      <c r="H10" s="146" t="s">
        <v>340</v>
      </c>
      <c r="I10" s="146"/>
      <c r="J10" s="151"/>
      <c r="K10" s="149"/>
      <c r="L10" s="149"/>
      <c r="M10" s="149"/>
      <c r="N10" s="149"/>
      <c r="O10" s="151"/>
      <c r="P10" s="200"/>
      <c r="Q10" s="203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</row>
    <row r="11" spans="1:32" ht="14.25" customHeight="1" x14ac:dyDescent="0.45">
      <c r="A11" s="188"/>
      <c r="B11" s="154" t="s">
        <v>339</v>
      </c>
      <c r="C11" s="155" t="s">
        <v>68</v>
      </c>
      <c r="D11" s="155" t="s">
        <v>243</v>
      </c>
      <c r="E11" s="156">
        <v>2</v>
      </c>
      <c r="F11" s="156" t="s">
        <v>229</v>
      </c>
      <c r="G11" s="155" t="s">
        <v>244</v>
      </c>
      <c r="H11" s="154"/>
      <c r="I11" s="154" t="s">
        <v>340</v>
      </c>
      <c r="J11" s="146"/>
      <c r="K11" s="149"/>
      <c r="L11" s="149"/>
      <c r="M11" s="150"/>
      <c r="N11" s="149"/>
      <c r="O11" s="151"/>
      <c r="P11" s="200"/>
      <c r="Q11" s="203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</row>
    <row r="12" spans="1:32" ht="14.25" customHeight="1" x14ac:dyDescent="0.45">
      <c r="A12" s="188"/>
      <c r="B12" s="154" t="s">
        <v>341</v>
      </c>
      <c r="C12" s="155" t="s">
        <v>68</v>
      </c>
      <c r="D12" s="155" t="s">
        <v>245</v>
      </c>
      <c r="E12" s="156">
        <v>2</v>
      </c>
      <c r="F12" s="156" t="s">
        <v>229</v>
      </c>
      <c r="G12" s="155" t="s">
        <v>244</v>
      </c>
      <c r="H12" s="154"/>
      <c r="I12" s="154" t="s">
        <v>340</v>
      </c>
      <c r="J12" s="146"/>
      <c r="K12" s="149"/>
      <c r="L12" s="149"/>
      <c r="M12" s="149"/>
      <c r="N12" s="149"/>
      <c r="O12" s="151"/>
      <c r="P12" s="200"/>
      <c r="Q12" s="203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</row>
    <row r="13" spans="1:32" ht="14.25" customHeight="1" x14ac:dyDescent="0.45">
      <c r="A13" s="188"/>
      <c r="B13" s="154" t="s">
        <v>342</v>
      </c>
      <c r="C13" s="155" t="s">
        <v>68</v>
      </c>
      <c r="D13" s="155" t="s">
        <v>246</v>
      </c>
      <c r="E13" s="156">
        <v>2</v>
      </c>
      <c r="F13" s="156" t="s">
        <v>229</v>
      </c>
      <c r="G13" s="155" t="s">
        <v>244</v>
      </c>
      <c r="H13" s="154"/>
      <c r="I13" s="154" t="s">
        <v>340</v>
      </c>
      <c r="J13" s="146"/>
      <c r="K13" s="149"/>
      <c r="L13" s="149"/>
      <c r="M13" s="149"/>
      <c r="N13" s="149"/>
      <c r="O13" s="151"/>
      <c r="P13" s="200"/>
      <c r="Q13" s="203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</row>
    <row r="14" spans="1:32" ht="14.25" customHeight="1" x14ac:dyDescent="0.45">
      <c r="A14" s="188"/>
      <c r="B14" s="146" t="s">
        <v>344</v>
      </c>
      <c r="C14" s="122" t="s">
        <v>40</v>
      </c>
      <c r="D14" s="122" t="s">
        <v>208</v>
      </c>
      <c r="E14" s="129">
        <v>3</v>
      </c>
      <c r="F14" s="129" t="s">
        <v>159</v>
      </c>
      <c r="G14" s="122" t="s">
        <v>172</v>
      </c>
      <c r="H14" s="146"/>
      <c r="I14" s="146" t="s">
        <v>340</v>
      </c>
      <c r="J14" s="146"/>
      <c r="K14" s="149"/>
      <c r="L14" s="149"/>
      <c r="M14" s="149"/>
      <c r="N14" s="149"/>
      <c r="O14" s="151"/>
      <c r="P14" s="200"/>
      <c r="Q14" s="203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</row>
    <row r="15" spans="1:32" ht="14.25" customHeight="1" x14ac:dyDescent="0.45">
      <c r="A15" s="188"/>
      <c r="B15" s="146" t="s">
        <v>345</v>
      </c>
      <c r="C15" s="122" t="s">
        <v>116</v>
      </c>
      <c r="D15" s="122" t="s">
        <v>312</v>
      </c>
      <c r="E15" s="129">
        <v>3</v>
      </c>
      <c r="F15" s="129" t="s">
        <v>279</v>
      </c>
      <c r="G15" s="122" t="s">
        <v>287</v>
      </c>
      <c r="H15" s="146"/>
      <c r="I15" s="146"/>
      <c r="J15" s="146" t="s">
        <v>340</v>
      </c>
      <c r="K15" s="149"/>
      <c r="L15" s="149"/>
      <c r="M15" s="149"/>
      <c r="N15" s="149"/>
      <c r="O15" s="151"/>
      <c r="P15" s="200"/>
      <c r="Q15" s="203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</row>
    <row r="16" spans="1:32" ht="14.25" customHeight="1" x14ac:dyDescent="0.45">
      <c r="A16" s="188"/>
      <c r="B16" s="146" t="s">
        <v>346</v>
      </c>
      <c r="C16" s="122" t="s">
        <v>116</v>
      </c>
      <c r="D16" s="122" t="s">
        <v>313</v>
      </c>
      <c r="E16" s="129">
        <v>3</v>
      </c>
      <c r="F16" s="129" t="s">
        <v>279</v>
      </c>
      <c r="G16" s="122" t="s">
        <v>287</v>
      </c>
      <c r="H16" s="146"/>
      <c r="I16" s="146"/>
      <c r="J16" s="146" t="s">
        <v>340</v>
      </c>
      <c r="K16" s="149"/>
      <c r="L16" s="149"/>
      <c r="M16" s="149"/>
      <c r="N16" s="149"/>
      <c r="O16" s="151"/>
      <c r="P16" s="200"/>
      <c r="Q16" s="203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</row>
    <row r="17" spans="1:32" ht="14.25" customHeight="1" x14ac:dyDescent="0.45">
      <c r="A17" s="188"/>
      <c r="B17" s="146" t="s">
        <v>344</v>
      </c>
      <c r="C17" s="122" t="s">
        <v>40</v>
      </c>
      <c r="D17" s="122" t="s">
        <v>200</v>
      </c>
      <c r="E17" s="129">
        <v>3</v>
      </c>
      <c r="F17" s="129" t="s">
        <v>159</v>
      </c>
      <c r="G17" s="122" t="s">
        <v>201</v>
      </c>
      <c r="H17" s="146"/>
      <c r="I17" s="146"/>
      <c r="J17" s="146" t="s">
        <v>340</v>
      </c>
      <c r="K17" s="149"/>
      <c r="L17" s="149"/>
      <c r="M17" s="149"/>
      <c r="N17" s="149"/>
      <c r="O17" s="151"/>
      <c r="P17" s="200"/>
      <c r="Q17" s="203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</row>
    <row r="18" spans="1:32" ht="14.25" customHeight="1" x14ac:dyDescent="0.45">
      <c r="A18" s="188"/>
      <c r="B18" s="146" t="s">
        <v>345</v>
      </c>
      <c r="C18" s="152" t="s">
        <v>42</v>
      </c>
      <c r="D18" s="152" t="s">
        <v>209</v>
      </c>
      <c r="E18" s="153">
        <v>3</v>
      </c>
      <c r="F18" s="153" t="s">
        <v>159</v>
      </c>
      <c r="G18" s="152" t="s">
        <v>210</v>
      </c>
      <c r="H18" s="146"/>
      <c r="I18" s="151"/>
      <c r="J18" s="151"/>
      <c r="K18" s="149" t="s">
        <v>340</v>
      </c>
      <c r="L18" s="149"/>
      <c r="M18" s="149"/>
      <c r="N18" s="149"/>
      <c r="O18" s="151"/>
      <c r="P18" s="200"/>
      <c r="Q18" s="203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</row>
    <row r="19" spans="1:32" ht="14.25" customHeight="1" x14ac:dyDescent="0.45">
      <c r="A19" s="188"/>
      <c r="B19" s="146" t="s">
        <v>346</v>
      </c>
      <c r="C19" s="152" t="s">
        <v>42</v>
      </c>
      <c r="D19" s="152" t="s">
        <v>211</v>
      </c>
      <c r="E19" s="153">
        <v>3</v>
      </c>
      <c r="F19" s="153" t="s">
        <v>159</v>
      </c>
      <c r="G19" s="152" t="s">
        <v>210</v>
      </c>
      <c r="H19" s="151"/>
      <c r="I19" s="146"/>
      <c r="J19" s="151"/>
      <c r="K19" s="149" t="s">
        <v>340</v>
      </c>
      <c r="L19" s="149"/>
      <c r="M19" s="149"/>
      <c r="N19" s="149"/>
      <c r="O19" s="151"/>
      <c r="P19" s="200"/>
      <c r="Q19" s="203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</row>
    <row r="20" spans="1:32" ht="14.25" customHeight="1" x14ac:dyDescent="0.45">
      <c r="A20" s="188"/>
      <c r="B20" s="146" t="s">
        <v>344</v>
      </c>
      <c r="C20" s="122" t="s">
        <v>77</v>
      </c>
      <c r="D20" s="122" t="s">
        <v>276</v>
      </c>
      <c r="E20" s="130">
        <v>3</v>
      </c>
      <c r="F20" s="130" t="s">
        <v>229</v>
      </c>
      <c r="G20" s="122" t="s">
        <v>262</v>
      </c>
      <c r="H20" s="146"/>
      <c r="I20" s="151"/>
      <c r="J20" s="146"/>
      <c r="K20" s="149" t="s">
        <v>340</v>
      </c>
      <c r="L20" s="149"/>
      <c r="M20" s="149"/>
      <c r="N20" s="149"/>
      <c r="O20" s="151"/>
      <c r="P20" s="200"/>
      <c r="Q20" s="203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</row>
    <row r="21" spans="1:32" ht="14.25" customHeight="1" x14ac:dyDescent="0.45">
      <c r="A21" s="188"/>
      <c r="B21" s="146" t="s">
        <v>345</v>
      </c>
      <c r="C21" s="122" t="s">
        <v>77</v>
      </c>
      <c r="D21" s="122" t="s">
        <v>277</v>
      </c>
      <c r="E21" s="130">
        <v>3</v>
      </c>
      <c r="F21" s="130" t="s">
        <v>229</v>
      </c>
      <c r="G21" s="122" t="s">
        <v>262</v>
      </c>
      <c r="H21" s="151"/>
      <c r="I21" s="146"/>
      <c r="J21" s="146"/>
      <c r="K21" s="149"/>
      <c r="L21" s="149" t="s">
        <v>340</v>
      </c>
      <c r="M21" s="149"/>
      <c r="N21" s="149"/>
      <c r="O21" s="151"/>
      <c r="P21" s="200"/>
      <c r="Q21" s="203"/>
    </row>
    <row r="22" spans="1:32" ht="14.25" customHeight="1" x14ac:dyDescent="0.45">
      <c r="A22" s="188"/>
      <c r="B22" s="146" t="s">
        <v>346</v>
      </c>
      <c r="C22" s="152" t="s">
        <v>44</v>
      </c>
      <c r="D22" s="152" t="s">
        <v>223</v>
      </c>
      <c r="E22" s="153">
        <v>3</v>
      </c>
      <c r="F22" s="153" t="s">
        <v>159</v>
      </c>
      <c r="G22" s="152" t="s">
        <v>222</v>
      </c>
      <c r="H22" s="151"/>
      <c r="I22" s="146"/>
      <c r="J22" s="146"/>
      <c r="K22" s="149"/>
      <c r="L22" s="149" t="s">
        <v>340</v>
      </c>
      <c r="M22" s="149"/>
      <c r="N22" s="149"/>
      <c r="O22" s="151"/>
      <c r="P22" s="200"/>
      <c r="Q22" s="203"/>
    </row>
    <row r="23" spans="1:32" ht="14.25" customHeight="1" x14ac:dyDescent="0.45">
      <c r="A23" s="188"/>
      <c r="B23" s="146" t="s">
        <v>344</v>
      </c>
      <c r="C23" s="152" t="s">
        <v>44</v>
      </c>
      <c r="D23" s="152" t="s">
        <v>224</v>
      </c>
      <c r="E23" s="153">
        <v>3</v>
      </c>
      <c r="F23" s="153" t="s">
        <v>159</v>
      </c>
      <c r="G23" s="152" t="s">
        <v>225</v>
      </c>
      <c r="H23" s="151"/>
      <c r="I23" s="146"/>
      <c r="J23" s="146"/>
      <c r="K23" s="149"/>
      <c r="L23" s="149" t="s">
        <v>340</v>
      </c>
      <c r="M23" s="149"/>
      <c r="N23" s="149"/>
      <c r="O23" s="151"/>
      <c r="P23" s="200"/>
      <c r="Q23" s="203"/>
    </row>
    <row r="24" spans="1:32" ht="14.25" customHeight="1" x14ac:dyDescent="0.45">
      <c r="A24" s="188"/>
      <c r="B24" s="146" t="s">
        <v>345</v>
      </c>
      <c r="C24" s="152" t="s">
        <v>44</v>
      </c>
      <c r="D24" s="152" t="s">
        <v>221</v>
      </c>
      <c r="E24" s="153">
        <v>3</v>
      </c>
      <c r="F24" s="153" t="s">
        <v>159</v>
      </c>
      <c r="G24" s="152" t="s">
        <v>222</v>
      </c>
      <c r="H24" s="151"/>
      <c r="I24" s="146"/>
      <c r="J24" s="146"/>
      <c r="K24" s="149"/>
      <c r="L24" s="149"/>
      <c r="M24" s="149" t="s">
        <v>340</v>
      </c>
      <c r="N24" s="149"/>
      <c r="O24" s="151"/>
      <c r="P24" s="200"/>
      <c r="Q24" s="203"/>
    </row>
    <row r="25" spans="1:32" ht="14.25" customHeight="1" x14ac:dyDescent="0.45">
      <c r="A25" s="188"/>
      <c r="B25" s="146" t="s">
        <v>346</v>
      </c>
      <c r="C25" s="152" t="s">
        <v>75</v>
      </c>
      <c r="D25" s="152" t="s">
        <v>269</v>
      </c>
      <c r="E25" s="153">
        <v>3</v>
      </c>
      <c r="F25" s="153" t="s">
        <v>229</v>
      </c>
      <c r="G25" s="152" t="s">
        <v>217</v>
      </c>
      <c r="H25" s="151"/>
      <c r="I25" s="146"/>
      <c r="J25" s="146"/>
      <c r="K25" s="149"/>
      <c r="L25" s="149"/>
      <c r="M25" s="149" t="s">
        <v>340</v>
      </c>
      <c r="N25" s="149"/>
      <c r="O25" s="151"/>
      <c r="P25" s="200"/>
      <c r="Q25" s="203"/>
    </row>
    <row r="26" spans="1:32" ht="14.25" customHeight="1" x14ac:dyDescent="0.45">
      <c r="A26" s="188"/>
      <c r="B26" s="146" t="s">
        <v>344</v>
      </c>
      <c r="C26" s="122" t="s">
        <v>113</v>
      </c>
      <c r="D26" s="122" t="s">
        <v>307</v>
      </c>
      <c r="E26" s="130">
        <v>3</v>
      </c>
      <c r="F26" s="130" t="s">
        <v>279</v>
      </c>
      <c r="G26" s="122" t="s">
        <v>308</v>
      </c>
      <c r="H26" s="146"/>
      <c r="I26" s="146"/>
      <c r="J26" s="146"/>
      <c r="K26" s="149"/>
      <c r="L26" s="149"/>
      <c r="M26" s="149" t="s">
        <v>340</v>
      </c>
      <c r="N26" s="149"/>
      <c r="O26" s="151"/>
      <c r="P26" s="200"/>
      <c r="Q26" s="203"/>
    </row>
    <row r="27" spans="1:32" ht="14.25" customHeight="1" x14ac:dyDescent="0.45">
      <c r="A27" s="188"/>
      <c r="B27" s="146" t="s">
        <v>345</v>
      </c>
      <c r="C27" s="122" t="s">
        <v>113</v>
      </c>
      <c r="D27" s="122" t="s">
        <v>309</v>
      </c>
      <c r="E27" s="130">
        <v>3</v>
      </c>
      <c r="F27" s="130" t="s">
        <v>279</v>
      </c>
      <c r="G27" s="122" t="s">
        <v>308</v>
      </c>
      <c r="H27" s="151"/>
      <c r="I27" s="146"/>
      <c r="J27" s="151"/>
      <c r="K27" s="149"/>
      <c r="L27" s="149"/>
      <c r="M27" s="149"/>
      <c r="N27" s="149" t="s">
        <v>340</v>
      </c>
      <c r="O27" s="151"/>
      <c r="P27" s="200"/>
      <c r="Q27" s="203"/>
    </row>
    <row r="28" spans="1:32" ht="14.25" customHeight="1" x14ac:dyDescent="0.45">
      <c r="A28" s="188"/>
      <c r="B28" s="146" t="s">
        <v>346</v>
      </c>
      <c r="C28" s="152" t="s">
        <v>70</v>
      </c>
      <c r="D28" s="152" t="s">
        <v>252</v>
      </c>
      <c r="E28" s="153">
        <v>3</v>
      </c>
      <c r="F28" s="153" t="s">
        <v>229</v>
      </c>
      <c r="G28" s="152" t="s">
        <v>175</v>
      </c>
      <c r="H28" s="146"/>
      <c r="I28" s="151"/>
      <c r="J28" s="146"/>
      <c r="K28" s="149"/>
      <c r="L28" s="149"/>
      <c r="M28" s="149"/>
      <c r="N28" s="149" t="s">
        <v>340</v>
      </c>
      <c r="O28" s="151"/>
      <c r="P28" s="200"/>
      <c r="Q28" s="203"/>
    </row>
    <row r="29" spans="1:32" ht="14.25" customHeight="1" x14ac:dyDescent="0.45">
      <c r="A29" s="188"/>
      <c r="B29" s="146" t="s">
        <v>344</v>
      </c>
      <c r="C29" s="122" t="s">
        <v>113</v>
      </c>
      <c r="D29" s="122" t="s">
        <v>306</v>
      </c>
      <c r="E29" s="129">
        <v>3</v>
      </c>
      <c r="F29" s="129" t="s">
        <v>279</v>
      </c>
      <c r="G29" s="122" t="s">
        <v>214</v>
      </c>
      <c r="H29" s="151"/>
      <c r="I29" s="146"/>
      <c r="J29" s="151"/>
      <c r="K29" s="149"/>
      <c r="L29" s="149"/>
      <c r="M29" s="149"/>
      <c r="N29" s="149" t="s">
        <v>340</v>
      </c>
      <c r="O29" s="151"/>
      <c r="P29" s="200"/>
      <c r="Q29" s="203"/>
    </row>
    <row r="30" spans="1:32" x14ac:dyDescent="0.45">
      <c r="A30" s="188"/>
      <c r="B30" s="146" t="s">
        <v>345</v>
      </c>
      <c r="C30" s="146"/>
      <c r="D30" s="151"/>
      <c r="E30" s="146"/>
      <c r="F30" s="146"/>
      <c r="G30" s="146"/>
      <c r="H30" s="146"/>
      <c r="I30" s="151"/>
      <c r="J30" s="146"/>
      <c r="K30" s="149"/>
      <c r="L30" s="149"/>
      <c r="M30" s="149"/>
      <c r="N30" s="149"/>
      <c r="O30" s="146" t="s">
        <v>340</v>
      </c>
      <c r="P30" s="200"/>
      <c r="Q30" s="203"/>
    </row>
    <row r="31" spans="1:32" x14ac:dyDescent="0.45">
      <c r="A31" s="188"/>
      <c r="B31" s="146" t="s">
        <v>346</v>
      </c>
      <c r="C31" s="122" t="s">
        <v>122</v>
      </c>
      <c r="D31" s="122" t="s">
        <v>321</v>
      </c>
      <c r="E31" s="129">
        <v>3</v>
      </c>
      <c r="F31" s="129" t="s">
        <v>279</v>
      </c>
      <c r="G31" s="122" t="s">
        <v>322</v>
      </c>
      <c r="H31" s="146"/>
      <c r="I31" s="151"/>
      <c r="J31" s="146"/>
      <c r="K31" s="149"/>
      <c r="L31" s="149"/>
      <c r="M31" s="149"/>
      <c r="N31" s="149"/>
      <c r="O31" s="146" t="s">
        <v>340</v>
      </c>
      <c r="P31" s="200"/>
      <c r="Q31" s="203"/>
    </row>
    <row r="32" spans="1:32" x14ac:dyDescent="0.45">
      <c r="A32" s="188"/>
      <c r="B32" s="146" t="s">
        <v>344</v>
      </c>
      <c r="C32" s="122"/>
      <c r="D32" s="122"/>
      <c r="E32" s="129"/>
      <c r="F32" s="129"/>
      <c r="G32" s="122"/>
      <c r="H32" s="146"/>
      <c r="I32" s="151"/>
      <c r="J32" s="146"/>
      <c r="K32" s="149"/>
      <c r="L32" s="149"/>
      <c r="M32" s="149"/>
      <c r="N32" s="149"/>
      <c r="O32" s="146" t="s">
        <v>340</v>
      </c>
      <c r="P32" s="200"/>
      <c r="Q32" s="203"/>
    </row>
    <row r="33" spans="1:17" x14ac:dyDescent="0.45">
      <c r="A33" s="188"/>
      <c r="B33" s="146" t="s">
        <v>345</v>
      </c>
      <c r="C33" s="146"/>
      <c r="D33" s="151"/>
      <c r="E33" s="146"/>
      <c r="F33" s="146"/>
      <c r="G33" s="146"/>
      <c r="H33" s="146"/>
      <c r="I33" s="151"/>
      <c r="J33" s="146"/>
      <c r="K33" s="149"/>
      <c r="L33" s="149"/>
      <c r="M33" s="149"/>
      <c r="N33" s="149"/>
      <c r="O33" s="151"/>
      <c r="P33" s="201" t="s">
        <v>340</v>
      </c>
      <c r="Q33" s="203"/>
    </row>
    <row r="34" spans="1:17" x14ac:dyDescent="0.45">
      <c r="A34" s="188"/>
      <c r="B34" s="146" t="s">
        <v>346</v>
      </c>
      <c r="C34" s="146"/>
      <c r="D34" s="151"/>
      <c r="E34" s="146"/>
      <c r="F34" s="146"/>
      <c r="G34" s="146"/>
      <c r="H34" s="146"/>
      <c r="I34" s="151"/>
      <c r="J34" s="146"/>
      <c r="K34" s="149"/>
      <c r="L34" s="149"/>
      <c r="M34" s="149"/>
      <c r="N34" s="149"/>
      <c r="O34" s="151"/>
      <c r="P34" s="201" t="s">
        <v>340</v>
      </c>
      <c r="Q34" s="203"/>
    </row>
    <row r="35" spans="1:17" x14ac:dyDescent="0.45">
      <c r="A35" s="188"/>
      <c r="B35" s="146" t="s">
        <v>344</v>
      </c>
      <c r="C35" s="120"/>
      <c r="D35" s="120"/>
      <c r="E35" s="120"/>
      <c r="F35" s="120"/>
      <c r="G35" s="120"/>
      <c r="H35" s="157"/>
      <c r="I35" s="157"/>
      <c r="J35" s="157"/>
      <c r="K35" s="158"/>
      <c r="L35" s="158"/>
      <c r="M35" s="159"/>
      <c r="N35" s="158"/>
      <c r="O35" s="157"/>
      <c r="P35" s="202" t="s">
        <v>340</v>
      </c>
      <c r="Q35" s="203"/>
    </row>
    <row r="36" spans="1:17" x14ac:dyDescent="0.45">
      <c r="B36" s="146" t="s">
        <v>345</v>
      </c>
      <c r="C36" s="152"/>
      <c r="D36" s="152"/>
      <c r="E36" s="153"/>
      <c r="F36" s="153"/>
      <c r="G36" s="152"/>
      <c r="H36" s="189" t="s">
        <v>347</v>
      </c>
      <c r="I36" s="189"/>
      <c r="J36" s="189"/>
      <c r="K36" s="189"/>
      <c r="L36" s="189"/>
      <c r="M36" s="189"/>
      <c r="N36" s="189"/>
      <c r="O36" s="189"/>
      <c r="P36" s="189"/>
      <c r="Q36" s="203"/>
    </row>
    <row r="37" spans="1:17" x14ac:dyDescent="0.45">
      <c r="B37" s="146" t="s">
        <v>348</v>
      </c>
      <c r="C37" s="122" t="s">
        <v>104</v>
      </c>
      <c r="D37" s="122" t="s">
        <v>285</v>
      </c>
      <c r="E37" s="130">
        <v>2</v>
      </c>
      <c r="F37" s="130" t="s">
        <v>279</v>
      </c>
      <c r="G37" s="122" t="s">
        <v>198</v>
      </c>
      <c r="H37" s="189"/>
      <c r="I37" s="189"/>
      <c r="J37" s="189"/>
      <c r="K37" s="189"/>
      <c r="L37" s="189"/>
      <c r="M37" s="189"/>
      <c r="N37" s="189"/>
      <c r="O37" s="189"/>
      <c r="P37" s="189"/>
      <c r="Q37" s="205" t="s">
        <v>340</v>
      </c>
    </row>
    <row r="38" spans="1:17" x14ac:dyDescent="0.45">
      <c r="B38" s="146" t="s">
        <v>349</v>
      </c>
      <c r="C38" s="122" t="s">
        <v>104</v>
      </c>
      <c r="D38" s="122" t="s">
        <v>278</v>
      </c>
      <c r="E38" s="130">
        <v>2</v>
      </c>
      <c r="F38" s="130" t="s">
        <v>279</v>
      </c>
      <c r="G38" s="122" t="s">
        <v>198</v>
      </c>
      <c r="H38" s="189"/>
      <c r="I38" s="189"/>
      <c r="J38" s="189"/>
      <c r="K38" s="189"/>
      <c r="L38" s="189"/>
      <c r="M38" s="189"/>
      <c r="N38" s="189"/>
      <c r="O38" s="189"/>
      <c r="P38" s="189"/>
      <c r="Q38" s="205" t="s">
        <v>340</v>
      </c>
    </row>
    <row r="39" spans="1:17" x14ac:dyDescent="0.45">
      <c r="B39" s="146" t="s">
        <v>350</v>
      </c>
      <c r="C39" s="122" t="s">
        <v>104</v>
      </c>
      <c r="D39" s="122" t="s">
        <v>280</v>
      </c>
      <c r="E39" s="130">
        <v>2</v>
      </c>
      <c r="F39" s="130" t="s">
        <v>279</v>
      </c>
      <c r="G39" s="122" t="s">
        <v>198</v>
      </c>
      <c r="H39" s="189"/>
      <c r="I39" s="189"/>
      <c r="J39" s="189"/>
      <c r="K39" s="189"/>
      <c r="L39" s="189"/>
      <c r="M39" s="189"/>
      <c r="N39" s="189"/>
      <c r="O39" s="189"/>
      <c r="P39" s="189"/>
      <c r="Q39" s="205" t="s">
        <v>340</v>
      </c>
    </row>
    <row r="42" spans="1:17" x14ac:dyDescent="0.45">
      <c r="A42" s="190" t="s">
        <v>326</v>
      </c>
      <c r="B42" s="191" t="s">
        <v>327</v>
      </c>
      <c r="C42" s="191" t="s">
        <v>328</v>
      </c>
      <c r="D42" s="191" t="s">
        <v>329</v>
      </c>
      <c r="E42" s="191" t="s">
        <v>6</v>
      </c>
      <c r="F42" s="191" t="s">
        <v>330</v>
      </c>
      <c r="G42" s="191" t="s">
        <v>351</v>
      </c>
      <c r="H42" s="186"/>
      <c r="I42" s="186"/>
      <c r="J42" s="186"/>
      <c r="K42" s="186"/>
      <c r="L42" s="186"/>
      <c r="M42" s="186"/>
      <c r="N42" s="186"/>
      <c r="O42" s="186"/>
      <c r="P42" s="196"/>
      <c r="Q42" s="206"/>
    </row>
    <row r="43" spans="1:17" x14ac:dyDescent="0.45">
      <c r="A43" s="190"/>
      <c r="B43" s="191"/>
      <c r="C43" s="191"/>
      <c r="D43" s="191"/>
      <c r="E43" s="191"/>
      <c r="F43" s="191"/>
      <c r="G43" s="191"/>
      <c r="H43" s="186" t="s">
        <v>331</v>
      </c>
      <c r="I43" s="186"/>
      <c r="J43" s="186"/>
      <c r="K43" s="186" t="s">
        <v>332</v>
      </c>
      <c r="L43" s="186"/>
      <c r="M43" s="186"/>
      <c r="N43" s="186"/>
      <c r="O43" s="187" t="s">
        <v>352</v>
      </c>
      <c r="P43" s="197"/>
      <c r="Q43" s="207" t="s">
        <v>368</v>
      </c>
    </row>
    <row r="44" spans="1:17" x14ac:dyDescent="0.45">
      <c r="A44" s="190"/>
      <c r="B44" s="191"/>
      <c r="C44" s="191"/>
      <c r="D44" s="191"/>
      <c r="E44" s="191"/>
      <c r="F44" s="191"/>
      <c r="G44" s="191"/>
      <c r="H44" s="143">
        <v>2</v>
      </c>
      <c r="I44" s="143">
        <v>3</v>
      </c>
      <c r="J44" s="143">
        <v>4</v>
      </c>
      <c r="K44" s="143" t="s">
        <v>334</v>
      </c>
      <c r="L44" s="143" t="s">
        <v>159</v>
      </c>
      <c r="M44" s="143" t="s">
        <v>335</v>
      </c>
      <c r="N44" s="143" t="s">
        <v>229</v>
      </c>
      <c r="O44" s="144" t="s">
        <v>334</v>
      </c>
      <c r="P44" s="198" t="s">
        <v>159</v>
      </c>
      <c r="Q44" s="206"/>
    </row>
    <row r="45" spans="1:17" ht="13.5" customHeight="1" x14ac:dyDescent="0.45">
      <c r="A45" s="192" t="s">
        <v>353</v>
      </c>
      <c r="B45" s="146" t="s">
        <v>345</v>
      </c>
      <c r="C45" s="152" t="s">
        <v>34</v>
      </c>
      <c r="D45" s="152" t="s">
        <v>166</v>
      </c>
      <c r="E45" s="153">
        <v>3</v>
      </c>
      <c r="F45" s="153" t="s">
        <v>159</v>
      </c>
      <c r="G45" s="152" t="s">
        <v>167</v>
      </c>
      <c r="H45" s="146" t="s">
        <v>340</v>
      </c>
      <c r="I45" s="146"/>
      <c r="J45" s="146"/>
      <c r="K45" s="149"/>
      <c r="L45" s="149"/>
      <c r="M45" s="150"/>
      <c r="N45" s="149"/>
      <c r="O45" s="151"/>
      <c r="P45" s="200"/>
      <c r="Q45" s="206"/>
    </row>
    <row r="46" spans="1:17" x14ac:dyDescent="0.45">
      <c r="A46" s="192"/>
      <c r="B46" s="146" t="s">
        <v>346</v>
      </c>
      <c r="C46" s="152" t="s">
        <v>34</v>
      </c>
      <c r="D46" s="152" t="s">
        <v>158</v>
      </c>
      <c r="E46" s="153">
        <v>3</v>
      </c>
      <c r="F46" s="153" t="s">
        <v>159</v>
      </c>
      <c r="G46" s="152" t="s">
        <v>160</v>
      </c>
      <c r="H46" s="146" t="s">
        <v>340</v>
      </c>
      <c r="I46" s="146"/>
      <c r="J46" s="146"/>
      <c r="K46" s="149"/>
      <c r="L46" s="149"/>
      <c r="M46" s="149"/>
      <c r="N46" s="149"/>
      <c r="O46" s="151"/>
      <c r="P46" s="200"/>
      <c r="Q46" s="206"/>
    </row>
    <row r="47" spans="1:17" x14ac:dyDescent="0.45">
      <c r="A47" s="192"/>
      <c r="B47" s="146" t="s">
        <v>343</v>
      </c>
      <c r="C47" s="152" t="s">
        <v>34</v>
      </c>
      <c r="D47" s="152" t="s">
        <v>171</v>
      </c>
      <c r="E47" s="153">
        <v>3</v>
      </c>
      <c r="F47" s="153" t="s">
        <v>159</v>
      </c>
      <c r="G47" s="152" t="s">
        <v>172</v>
      </c>
      <c r="H47" s="146" t="s">
        <v>340</v>
      </c>
      <c r="I47" s="146"/>
      <c r="J47" s="151"/>
      <c r="K47" s="149"/>
      <c r="L47" s="149"/>
      <c r="M47" s="149"/>
      <c r="N47" s="149"/>
      <c r="O47" s="151"/>
      <c r="P47" s="200"/>
      <c r="Q47" s="206"/>
    </row>
    <row r="48" spans="1:17" x14ac:dyDescent="0.45">
      <c r="A48" s="192"/>
      <c r="B48" s="146" t="s">
        <v>339</v>
      </c>
      <c r="C48" s="152" t="s">
        <v>36</v>
      </c>
      <c r="D48" s="152" t="s">
        <v>186</v>
      </c>
      <c r="E48" s="153">
        <v>2</v>
      </c>
      <c r="F48" s="153" t="s">
        <v>159</v>
      </c>
      <c r="G48" s="152" t="s">
        <v>178</v>
      </c>
      <c r="H48" s="146"/>
      <c r="I48" s="146" t="s">
        <v>340</v>
      </c>
      <c r="J48" s="146"/>
      <c r="K48" s="149"/>
      <c r="L48" s="149"/>
      <c r="M48" s="150"/>
      <c r="N48" s="149"/>
      <c r="O48" s="151"/>
      <c r="P48" s="200"/>
      <c r="Q48" s="206"/>
    </row>
    <row r="49" spans="1:17" x14ac:dyDescent="0.45">
      <c r="A49" s="192"/>
      <c r="B49" s="146" t="s">
        <v>341</v>
      </c>
      <c r="C49" s="152" t="s">
        <v>36</v>
      </c>
      <c r="D49" s="152" t="s">
        <v>188</v>
      </c>
      <c r="E49" s="153">
        <v>2</v>
      </c>
      <c r="F49" s="153" t="s">
        <v>159</v>
      </c>
      <c r="G49" s="152" t="s">
        <v>178</v>
      </c>
      <c r="H49" s="146"/>
      <c r="I49" s="146" t="s">
        <v>340</v>
      </c>
      <c r="J49" s="146"/>
      <c r="K49" s="149"/>
      <c r="L49" s="149"/>
      <c r="M49" s="149"/>
      <c r="N49" s="149"/>
      <c r="O49" s="151"/>
      <c r="P49" s="200"/>
      <c r="Q49" s="206"/>
    </row>
    <row r="50" spans="1:17" x14ac:dyDescent="0.45">
      <c r="A50" s="192"/>
      <c r="B50" s="146" t="s">
        <v>342</v>
      </c>
      <c r="C50" s="152" t="s">
        <v>36</v>
      </c>
      <c r="D50" s="152" t="s">
        <v>190</v>
      </c>
      <c r="E50" s="153">
        <v>2</v>
      </c>
      <c r="F50" s="153" t="s">
        <v>159</v>
      </c>
      <c r="G50" s="152" t="s">
        <v>178</v>
      </c>
      <c r="H50" s="146"/>
      <c r="I50" s="146" t="s">
        <v>340</v>
      </c>
      <c r="J50" s="146"/>
      <c r="K50" s="149"/>
      <c r="L50" s="149"/>
      <c r="M50" s="149"/>
      <c r="N50" s="149"/>
      <c r="O50" s="151"/>
      <c r="P50" s="200"/>
      <c r="Q50" s="206"/>
    </row>
    <row r="51" spans="1:17" x14ac:dyDescent="0.45">
      <c r="A51" s="192"/>
      <c r="B51" s="146" t="s">
        <v>344</v>
      </c>
      <c r="C51" s="161" t="s">
        <v>106</v>
      </c>
      <c r="D51" s="161" t="s">
        <v>288</v>
      </c>
      <c r="E51" s="162">
        <v>3</v>
      </c>
      <c r="F51" s="162" t="s">
        <v>279</v>
      </c>
      <c r="G51" s="161" t="s">
        <v>254</v>
      </c>
      <c r="H51" s="146"/>
      <c r="I51" s="146" t="s">
        <v>340</v>
      </c>
      <c r="J51" s="146"/>
      <c r="K51" s="149"/>
      <c r="L51" s="149"/>
      <c r="M51" s="149"/>
      <c r="N51" s="149"/>
      <c r="O51" s="151"/>
      <c r="P51" s="200"/>
      <c r="Q51" s="206"/>
    </row>
    <row r="52" spans="1:17" x14ac:dyDescent="0.45">
      <c r="A52" s="192"/>
      <c r="B52" s="146" t="s">
        <v>345</v>
      </c>
      <c r="C52" s="161" t="s">
        <v>116</v>
      </c>
      <c r="D52" s="161" t="s">
        <v>314</v>
      </c>
      <c r="E52" s="162">
        <v>3</v>
      </c>
      <c r="F52" s="162" t="s">
        <v>279</v>
      </c>
      <c r="G52" s="161" t="s">
        <v>287</v>
      </c>
      <c r="H52" s="146"/>
      <c r="I52" s="146"/>
      <c r="J52" s="146" t="s">
        <v>340</v>
      </c>
      <c r="K52" s="149"/>
      <c r="L52" s="149"/>
      <c r="M52" s="149"/>
      <c r="N52" s="149"/>
      <c r="O52" s="151"/>
      <c r="P52" s="200"/>
      <c r="Q52" s="206"/>
    </row>
    <row r="53" spans="1:17" x14ac:dyDescent="0.45">
      <c r="A53" s="192"/>
      <c r="B53" s="146" t="s">
        <v>346</v>
      </c>
      <c r="C53" s="152" t="s">
        <v>38</v>
      </c>
      <c r="D53" s="152" t="s">
        <v>194</v>
      </c>
      <c r="E53" s="153">
        <v>3</v>
      </c>
      <c r="F53" s="153" t="s">
        <v>159</v>
      </c>
      <c r="G53" s="152" t="s">
        <v>192</v>
      </c>
      <c r="H53" s="146"/>
      <c r="I53" s="146"/>
      <c r="J53" s="146" t="s">
        <v>340</v>
      </c>
      <c r="K53" s="149"/>
      <c r="L53" s="149"/>
      <c r="M53" s="149"/>
      <c r="N53" s="149"/>
      <c r="O53" s="151"/>
      <c r="P53" s="200"/>
      <c r="Q53" s="206"/>
    </row>
    <row r="54" spans="1:17" x14ac:dyDescent="0.45">
      <c r="A54" s="192"/>
      <c r="B54" s="146" t="s">
        <v>344</v>
      </c>
      <c r="C54" s="152" t="s">
        <v>38</v>
      </c>
      <c r="D54" s="152" t="s">
        <v>195</v>
      </c>
      <c r="E54" s="153">
        <v>3</v>
      </c>
      <c r="F54" s="153" t="s">
        <v>159</v>
      </c>
      <c r="G54" s="152" t="s">
        <v>192</v>
      </c>
      <c r="H54" s="146"/>
      <c r="I54" s="146"/>
      <c r="J54" s="146" t="s">
        <v>340</v>
      </c>
      <c r="K54" s="149"/>
      <c r="L54" s="149"/>
      <c r="M54" s="149"/>
      <c r="N54" s="149"/>
      <c r="O54" s="151"/>
      <c r="P54" s="200"/>
      <c r="Q54" s="206"/>
    </row>
    <row r="55" spans="1:17" x14ac:dyDescent="0.45">
      <c r="A55" s="192"/>
      <c r="B55" s="146" t="s">
        <v>345</v>
      </c>
      <c r="C55" s="161" t="s">
        <v>118</v>
      </c>
      <c r="D55" s="161" t="s">
        <v>318</v>
      </c>
      <c r="E55" s="162">
        <v>3</v>
      </c>
      <c r="F55" s="162" t="s">
        <v>279</v>
      </c>
      <c r="G55" s="161" t="s">
        <v>317</v>
      </c>
      <c r="H55" s="146"/>
      <c r="I55" s="151"/>
      <c r="J55" s="151"/>
      <c r="K55" s="149" t="s">
        <v>340</v>
      </c>
      <c r="L55" s="149"/>
      <c r="M55" s="149"/>
      <c r="N55" s="149"/>
      <c r="O55" s="151"/>
      <c r="P55" s="200"/>
      <c r="Q55" s="206"/>
    </row>
    <row r="56" spans="1:17" x14ac:dyDescent="0.45">
      <c r="A56" s="192"/>
      <c r="B56" s="146" t="s">
        <v>346</v>
      </c>
      <c r="C56" s="152" t="s">
        <v>42</v>
      </c>
      <c r="D56" s="152" t="s">
        <v>216</v>
      </c>
      <c r="E56" s="153">
        <v>3</v>
      </c>
      <c r="F56" s="153" t="s">
        <v>159</v>
      </c>
      <c r="G56" s="152" t="s">
        <v>217</v>
      </c>
      <c r="H56" s="151"/>
      <c r="I56" s="146"/>
      <c r="J56" s="151"/>
      <c r="K56" s="149" t="s">
        <v>340</v>
      </c>
      <c r="L56" s="149"/>
      <c r="M56" s="149"/>
      <c r="N56" s="149"/>
      <c r="O56" s="151"/>
      <c r="P56" s="200"/>
      <c r="Q56" s="206"/>
    </row>
    <row r="57" spans="1:17" x14ac:dyDescent="0.45">
      <c r="A57" s="192"/>
      <c r="B57" s="146" t="s">
        <v>344</v>
      </c>
      <c r="C57" s="152" t="s">
        <v>42</v>
      </c>
      <c r="D57" s="152" t="s">
        <v>212</v>
      </c>
      <c r="E57" s="153">
        <v>3</v>
      </c>
      <c r="F57" s="153" t="s">
        <v>159</v>
      </c>
      <c r="G57" s="152" t="s">
        <v>210</v>
      </c>
      <c r="H57" s="146"/>
      <c r="I57" s="151"/>
      <c r="J57" s="146"/>
      <c r="K57" s="149" t="s">
        <v>340</v>
      </c>
      <c r="L57" s="149"/>
      <c r="M57" s="149"/>
      <c r="N57" s="149"/>
      <c r="O57" s="151"/>
      <c r="P57" s="200"/>
      <c r="Q57" s="206"/>
    </row>
    <row r="58" spans="1:17" x14ac:dyDescent="0.45">
      <c r="A58" s="192"/>
      <c r="B58" s="146" t="s">
        <v>345</v>
      </c>
      <c r="C58" s="161" t="s">
        <v>111</v>
      </c>
      <c r="D58" s="161" t="s">
        <v>302</v>
      </c>
      <c r="E58" s="162">
        <v>3</v>
      </c>
      <c r="F58" s="162" t="s">
        <v>279</v>
      </c>
      <c r="G58" s="161" t="s">
        <v>303</v>
      </c>
      <c r="H58" s="151"/>
      <c r="I58" s="146"/>
      <c r="J58" s="146"/>
      <c r="K58" s="149"/>
      <c r="L58" s="149" t="s">
        <v>340</v>
      </c>
      <c r="M58" s="149"/>
      <c r="N58" s="149"/>
      <c r="O58" s="151"/>
      <c r="P58" s="200"/>
      <c r="Q58" s="206"/>
    </row>
    <row r="59" spans="1:17" x14ac:dyDescent="0.45">
      <c r="A59" s="192"/>
      <c r="B59" s="146" t="s">
        <v>346</v>
      </c>
      <c r="C59" s="152" t="s">
        <v>44</v>
      </c>
      <c r="D59" s="152" t="s">
        <v>219</v>
      </c>
      <c r="E59" s="153">
        <v>3</v>
      </c>
      <c r="F59" s="153" t="s">
        <v>159</v>
      </c>
      <c r="G59" s="152" t="s">
        <v>167</v>
      </c>
      <c r="H59" s="151"/>
      <c r="I59" s="146"/>
      <c r="J59" s="146"/>
      <c r="K59" s="149"/>
      <c r="L59" s="149" t="s">
        <v>340</v>
      </c>
      <c r="M59" s="149"/>
      <c r="N59" s="149"/>
      <c r="O59" s="151"/>
      <c r="P59" s="200"/>
      <c r="Q59" s="206"/>
    </row>
    <row r="60" spans="1:17" x14ac:dyDescent="0.45">
      <c r="A60" s="192"/>
      <c r="B60" s="146" t="s">
        <v>344</v>
      </c>
      <c r="C60" s="152" t="s">
        <v>42</v>
      </c>
      <c r="D60" s="152" t="s">
        <v>213</v>
      </c>
      <c r="E60" s="153">
        <v>3</v>
      </c>
      <c r="F60" s="153" t="s">
        <v>159</v>
      </c>
      <c r="G60" s="152" t="s">
        <v>214</v>
      </c>
      <c r="H60" s="151"/>
      <c r="I60" s="146"/>
      <c r="J60" s="146"/>
      <c r="K60" s="149"/>
      <c r="L60" s="149" t="s">
        <v>340</v>
      </c>
      <c r="M60" s="149"/>
      <c r="N60" s="149"/>
      <c r="O60" s="151"/>
      <c r="P60" s="200"/>
      <c r="Q60" s="206"/>
    </row>
    <row r="61" spans="1:17" x14ac:dyDescent="0.45">
      <c r="A61" s="192"/>
      <c r="B61" s="146" t="s">
        <v>345</v>
      </c>
      <c r="C61" s="122"/>
      <c r="D61" s="122"/>
      <c r="E61" s="129"/>
      <c r="F61" s="129"/>
      <c r="G61" s="120"/>
      <c r="H61" s="151"/>
      <c r="I61" s="146"/>
      <c r="J61" s="146"/>
      <c r="K61" s="149"/>
      <c r="L61" s="149"/>
      <c r="M61" s="149" t="s">
        <v>340</v>
      </c>
      <c r="N61" s="149"/>
      <c r="O61" s="151"/>
      <c r="P61" s="200"/>
      <c r="Q61" s="206"/>
    </row>
    <row r="62" spans="1:17" x14ac:dyDescent="0.45">
      <c r="A62" s="192"/>
      <c r="B62" s="146" t="s">
        <v>346</v>
      </c>
      <c r="C62" s="161" t="s">
        <v>77</v>
      </c>
      <c r="D62" s="161" t="s">
        <v>273</v>
      </c>
      <c r="E62" s="162">
        <v>3</v>
      </c>
      <c r="F62" s="162" t="s">
        <v>229</v>
      </c>
      <c r="G62" s="161" t="s">
        <v>272</v>
      </c>
      <c r="H62" s="151"/>
      <c r="I62" s="146"/>
      <c r="J62" s="146"/>
      <c r="K62" s="149"/>
      <c r="L62" s="149"/>
      <c r="M62" s="149" t="s">
        <v>340</v>
      </c>
      <c r="N62" s="149"/>
      <c r="O62" s="151"/>
      <c r="P62" s="200"/>
      <c r="Q62" s="206"/>
    </row>
    <row r="63" spans="1:17" x14ac:dyDescent="0.45">
      <c r="A63" s="192"/>
      <c r="B63" s="146" t="s">
        <v>344</v>
      </c>
      <c r="C63" s="152" t="s">
        <v>44</v>
      </c>
      <c r="D63" s="152" t="s">
        <v>226</v>
      </c>
      <c r="E63" s="153">
        <v>3</v>
      </c>
      <c r="F63" s="153" t="s">
        <v>159</v>
      </c>
      <c r="G63" s="152" t="s">
        <v>222</v>
      </c>
      <c r="H63" s="146"/>
      <c r="I63" s="146"/>
      <c r="J63" s="146"/>
      <c r="K63" s="149"/>
      <c r="L63" s="149"/>
      <c r="M63" s="149" t="s">
        <v>340</v>
      </c>
      <c r="N63" s="149"/>
      <c r="O63" s="151"/>
      <c r="P63" s="200"/>
      <c r="Q63" s="206"/>
    </row>
    <row r="64" spans="1:17" x14ac:dyDescent="0.45">
      <c r="A64" s="192"/>
      <c r="B64" s="146" t="s">
        <v>345</v>
      </c>
      <c r="C64" s="163"/>
      <c r="D64" s="152"/>
      <c r="E64" s="163"/>
      <c r="F64" s="163"/>
      <c r="G64" s="152"/>
      <c r="H64" s="151"/>
      <c r="I64" s="146"/>
      <c r="J64" s="151"/>
      <c r="K64" s="149"/>
      <c r="L64" s="149"/>
      <c r="M64" s="149"/>
      <c r="N64" s="149" t="s">
        <v>340</v>
      </c>
      <c r="O64" s="151"/>
      <c r="P64" s="200"/>
      <c r="Q64" s="206"/>
    </row>
    <row r="65" spans="1:17" x14ac:dyDescent="0.45">
      <c r="A65" s="192"/>
      <c r="B65" s="146" t="s">
        <v>346</v>
      </c>
      <c r="C65" s="152" t="s">
        <v>70</v>
      </c>
      <c r="D65" s="152" t="s">
        <v>249</v>
      </c>
      <c r="E65" s="153">
        <v>3</v>
      </c>
      <c r="F65" s="153" t="s">
        <v>229</v>
      </c>
      <c r="G65" s="152" t="s">
        <v>250</v>
      </c>
      <c r="H65" s="146"/>
      <c r="I65" s="151"/>
      <c r="J65" s="146"/>
      <c r="K65" s="149"/>
      <c r="L65" s="149"/>
      <c r="M65" s="149"/>
      <c r="N65" s="149" t="s">
        <v>340</v>
      </c>
      <c r="O65" s="151"/>
      <c r="P65" s="200"/>
      <c r="Q65" s="206"/>
    </row>
    <row r="66" spans="1:17" x14ac:dyDescent="0.45">
      <c r="A66" s="192"/>
      <c r="B66" s="146" t="s">
        <v>344</v>
      </c>
      <c r="C66" s="152" t="s">
        <v>70</v>
      </c>
      <c r="D66" s="152" t="s">
        <v>251</v>
      </c>
      <c r="E66" s="153">
        <v>3</v>
      </c>
      <c r="F66" s="153" t="s">
        <v>229</v>
      </c>
      <c r="G66" s="152" t="s">
        <v>250</v>
      </c>
      <c r="H66" s="151"/>
      <c r="I66" s="146"/>
      <c r="J66" s="151"/>
      <c r="K66" s="149"/>
      <c r="L66" s="149"/>
      <c r="M66" s="149"/>
      <c r="N66" s="149" t="s">
        <v>340</v>
      </c>
      <c r="O66" s="151"/>
      <c r="P66" s="200"/>
      <c r="Q66" s="206"/>
    </row>
    <row r="67" spans="1:17" x14ac:dyDescent="0.45">
      <c r="A67" s="192"/>
      <c r="B67" s="146" t="s">
        <v>339</v>
      </c>
      <c r="C67" s="161" t="s">
        <v>68</v>
      </c>
      <c r="D67" s="161" t="s">
        <v>247</v>
      </c>
      <c r="E67" s="164">
        <v>2</v>
      </c>
      <c r="F67" s="164" t="s">
        <v>229</v>
      </c>
      <c r="G67" s="161" t="s">
        <v>244</v>
      </c>
      <c r="H67" s="151"/>
      <c r="I67" s="151"/>
      <c r="J67" s="151"/>
      <c r="K67" s="149"/>
      <c r="L67" s="149"/>
      <c r="M67" s="150"/>
      <c r="N67" s="149"/>
      <c r="O67" s="146" t="s">
        <v>340</v>
      </c>
      <c r="P67" s="200"/>
      <c r="Q67" s="206"/>
    </row>
    <row r="68" spans="1:17" x14ac:dyDescent="0.45">
      <c r="A68" s="192"/>
      <c r="B68" s="146" t="s">
        <v>354</v>
      </c>
      <c r="C68" s="161" t="s">
        <v>68</v>
      </c>
      <c r="D68" s="161" t="s">
        <v>248</v>
      </c>
      <c r="E68" s="164">
        <v>2</v>
      </c>
      <c r="F68" s="164" t="s">
        <v>229</v>
      </c>
      <c r="G68" s="161" t="s">
        <v>244</v>
      </c>
      <c r="H68" s="151"/>
      <c r="I68" s="151"/>
      <c r="J68" s="151"/>
      <c r="K68" s="149"/>
      <c r="L68" s="149"/>
      <c r="M68" s="150"/>
      <c r="N68" s="149"/>
      <c r="O68" s="146" t="s">
        <v>340</v>
      </c>
      <c r="P68" s="200"/>
      <c r="Q68" s="206"/>
    </row>
    <row r="69" spans="1:17" x14ac:dyDescent="0.45">
      <c r="A69" s="192"/>
      <c r="B69" s="146" t="s">
        <v>355</v>
      </c>
      <c r="C69" s="152" t="s">
        <v>108</v>
      </c>
      <c r="D69" s="152" t="s">
        <v>294</v>
      </c>
      <c r="E69" s="153">
        <v>3</v>
      </c>
      <c r="F69" s="153" t="s">
        <v>279</v>
      </c>
      <c r="G69" s="152" t="s">
        <v>225</v>
      </c>
      <c r="H69" s="151"/>
      <c r="I69" s="151"/>
      <c r="J69" s="151"/>
      <c r="K69" s="149"/>
      <c r="L69" s="149"/>
      <c r="M69" s="150"/>
      <c r="N69" s="149"/>
      <c r="O69" s="146" t="s">
        <v>340</v>
      </c>
      <c r="P69" s="200"/>
      <c r="Q69" s="206"/>
    </row>
    <row r="70" spans="1:17" x14ac:dyDescent="0.45">
      <c r="A70" s="192"/>
      <c r="B70" s="146" t="s">
        <v>344</v>
      </c>
      <c r="C70" s="165"/>
      <c r="D70" s="166"/>
      <c r="E70" s="167"/>
      <c r="F70" s="167"/>
      <c r="G70" s="166"/>
      <c r="H70" s="151"/>
      <c r="I70" s="151"/>
      <c r="J70" s="151"/>
      <c r="K70" s="149"/>
      <c r="L70" s="149"/>
      <c r="M70" s="150"/>
      <c r="N70" s="149"/>
      <c r="O70" s="146" t="s">
        <v>340</v>
      </c>
      <c r="P70" s="200"/>
      <c r="Q70" s="206"/>
    </row>
    <row r="71" spans="1:17" x14ac:dyDescent="0.45">
      <c r="A71" s="192"/>
      <c r="B71" s="146" t="s">
        <v>345</v>
      </c>
      <c r="C71" s="122" t="s">
        <v>40</v>
      </c>
      <c r="D71" s="122" t="s">
        <v>203</v>
      </c>
      <c r="E71" s="129">
        <v>3</v>
      </c>
      <c r="F71" s="129" t="s">
        <v>159</v>
      </c>
      <c r="G71" s="122" t="s">
        <v>201</v>
      </c>
      <c r="H71" s="151"/>
      <c r="I71" s="151"/>
      <c r="J71" s="151"/>
      <c r="K71" s="149"/>
      <c r="L71" s="149"/>
      <c r="M71" s="150"/>
      <c r="N71" s="149"/>
      <c r="O71" s="151"/>
      <c r="P71" s="201" t="s">
        <v>340</v>
      </c>
      <c r="Q71" s="206"/>
    </row>
    <row r="72" spans="1:17" x14ac:dyDescent="0.45">
      <c r="A72" s="192"/>
      <c r="B72" s="146" t="s">
        <v>346</v>
      </c>
      <c r="C72" s="122" t="s">
        <v>40</v>
      </c>
      <c r="D72" s="122" t="s">
        <v>204</v>
      </c>
      <c r="E72" s="129">
        <v>3</v>
      </c>
      <c r="F72" s="129" t="s">
        <v>159</v>
      </c>
      <c r="G72" s="122" t="s">
        <v>201</v>
      </c>
      <c r="H72" s="151"/>
      <c r="I72" s="151"/>
      <c r="J72" s="151"/>
      <c r="K72" s="149"/>
      <c r="L72" s="149"/>
      <c r="M72" s="150"/>
      <c r="N72" s="149"/>
      <c r="O72" s="151"/>
      <c r="P72" s="201" t="s">
        <v>340</v>
      </c>
      <c r="Q72" s="206"/>
    </row>
    <row r="73" spans="1:17" x14ac:dyDescent="0.45">
      <c r="A73" s="192"/>
      <c r="B73" s="160" t="s">
        <v>344</v>
      </c>
      <c r="C73" s="161" t="s">
        <v>125</v>
      </c>
      <c r="D73" s="161" t="s">
        <v>323</v>
      </c>
      <c r="E73" s="162">
        <v>3</v>
      </c>
      <c r="F73" s="162" t="s">
        <v>279</v>
      </c>
      <c r="G73" s="161" t="s">
        <v>322</v>
      </c>
      <c r="H73" s="157"/>
      <c r="I73" s="157"/>
      <c r="J73" s="157"/>
      <c r="K73" s="158"/>
      <c r="L73" s="158"/>
      <c r="M73" s="159"/>
      <c r="N73" s="158"/>
      <c r="O73" s="157"/>
      <c r="P73" s="202" t="s">
        <v>340</v>
      </c>
      <c r="Q73" s="206"/>
    </row>
    <row r="74" spans="1:17" x14ac:dyDescent="0.45">
      <c r="A74" s="192"/>
      <c r="B74" s="146" t="s">
        <v>345</v>
      </c>
      <c r="C74" s="152" t="s">
        <v>64</v>
      </c>
      <c r="D74" s="152" t="s">
        <v>228</v>
      </c>
      <c r="E74" s="153">
        <v>3</v>
      </c>
      <c r="F74" s="153" t="s">
        <v>229</v>
      </c>
      <c r="G74" s="152" t="s">
        <v>230</v>
      </c>
      <c r="H74" s="189" t="s">
        <v>347</v>
      </c>
      <c r="I74" s="189"/>
      <c r="J74" s="189"/>
      <c r="K74" s="189"/>
      <c r="L74" s="189"/>
      <c r="M74" s="189"/>
      <c r="N74" s="189"/>
      <c r="O74" s="189"/>
      <c r="P74" s="189"/>
      <c r="Q74" s="206" t="s">
        <v>340</v>
      </c>
    </row>
    <row r="75" spans="1:17" x14ac:dyDescent="0.45">
      <c r="A75" s="192"/>
      <c r="B75" s="146" t="s">
        <v>346</v>
      </c>
      <c r="C75" s="152" t="s">
        <v>64</v>
      </c>
      <c r="D75" s="152" t="s">
        <v>231</v>
      </c>
      <c r="E75" s="153">
        <v>3</v>
      </c>
      <c r="F75" s="153" t="s">
        <v>229</v>
      </c>
      <c r="G75" s="152" t="s">
        <v>230</v>
      </c>
      <c r="H75" s="189"/>
      <c r="I75" s="189"/>
      <c r="J75" s="189"/>
      <c r="K75" s="189"/>
      <c r="L75" s="189"/>
      <c r="M75" s="189"/>
      <c r="N75" s="189"/>
      <c r="O75" s="189"/>
      <c r="P75" s="189"/>
      <c r="Q75" s="206" t="s">
        <v>340</v>
      </c>
    </row>
    <row r="76" spans="1:17" x14ac:dyDescent="0.45">
      <c r="A76" s="192"/>
      <c r="B76" s="168" t="s">
        <v>343</v>
      </c>
      <c r="C76" s="168"/>
      <c r="D76" s="169"/>
      <c r="E76" s="168"/>
      <c r="F76" s="168"/>
      <c r="G76" s="168"/>
      <c r="H76" s="189"/>
      <c r="I76" s="189"/>
      <c r="J76" s="189"/>
      <c r="K76" s="189"/>
      <c r="L76" s="189"/>
      <c r="M76" s="189"/>
      <c r="N76" s="189"/>
      <c r="O76" s="189"/>
      <c r="P76" s="189"/>
      <c r="Q76" s="206"/>
    </row>
    <row r="77" spans="1:17" x14ac:dyDescent="0.45">
      <c r="P77" s="170"/>
    </row>
    <row r="78" spans="1:17" x14ac:dyDescent="0.45">
      <c r="P78" s="170"/>
    </row>
    <row r="79" spans="1:17" x14ac:dyDescent="0.45">
      <c r="P79" s="170"/>
    </row>
    <row r="80" spans="1:17" x14ac:dyDescent="0.45">
      <c r="A80" s="190" t="s">
        <v>326</v>
      </c>
      <c r="B80" s="191" t="s">
        <v>327</v>
      </c>
      <c r="C80" s="191" t="s">
        <v>328</v>
      </c>
      <c r="D80" s="191" t="s">
        <v>329</v>
      </c>
      <c r="E80" s="191" t="s">
        <v>6</v>
      </c>
      <c r="F80" s="191" t="s">
        <v>330</v>
      </c>
      <c r="G80" s="191" t="s">
        <v>351</v>
      </c>
      <c r="H80" s="186"/>
      <c r="I80" s="186"/>
      <c r="J80" s="186"/>
      <c r="K80" s="186"/>
      <c r="L80" s="186"/>
      <c r="M80" s="186"/>
      <c r="N80" s="186"/>
      <c r="O80" s="186"/>
      <c r="P80" s="186"/>
      <c r="Q80" s="206"/>
    </row>
    <row r="81" spans="1:17" x14ac:dyDescent="0.45">
      <c r="A81" s="190"/>
      <c r="B81" s="191"/>
      <c r="C81" s="191"/>
      <c r="D81" s="191"/>
      <c r="E81" s="191"/>
      <c r="F81" s="191"/>
      <c r="G81" s="191"/>
      <c r="H81" s="186" t="s">
        <v>331</v>
      </c>
      <c r="I81" s="186"/>
      <c r="J81" s="186"/>
      <c r="K81" s="186" t="s">
        <v>332</v>
      </c>
      <c r="L81" s="186"/>
      <c r="M81" s="186"/>
      <c r="N81" s="186"/>
      <c r="O81" s="187" t="s">
        <v>352</v>
      </c>
      <c r="P81" s="187"/>
      <c r="Q81" s="207" t="s">
        <v>368</v>
      </c>
    </row>
    <row r="82" spans="1:17" x14ac:dyDescent="0.45">
      <c r="A82" s="190"/>
      <c r="B82" s="191"/>
      <c r="C82" s="191"/>
      <c r="D82" s="191"/>
      <c r="E82" s="191"/>
      <c r="F82" s="191"/>
      <c r="G82" s="191"/>
      <c r="H82" s="143">
        <v>2</v>
      </c>
      <c r="I82" s="143">
        <v>3</v>
      </c>
      <c r="J82" s="143">
        <v>4</v>
      </c>
      <c r="K82" s="143" t="s">
        <v>334</v>
      </c>
      <c r="L82" s="143" t="s">
        <v>159</v>
      </c>
      <c r="M82" s="143" t="s">
        <v>335</v>
      </c>
      <c r="N82" s="143" t="s">
        <v>229</v>
      </c>
      <c r="O82" s="144" t="s">
        <v>334</v>
      </c>
      <c r="P82" s="145" t="s">
        <v>159</v>
      </c>
      <c r="Q82" s="206"/>
    </row>
    <row r="83" spans="1:17" ht="13.5" customHeight="1" x14ac:dyDescent="0.45">
      <c r="A83" s="193" t="s">
        <v>356</v>
      </c>
      <c r="B83" s="171" t="s">
        <v>345</v>
      </c>
      <c r="C83" s="172" t="s">
        <v>34</v>
      </c>
      <c r="D83" s="172" t="s">
        <v>169</v>
      </c>
      <c r="E83" s="173">
        <v>3</v>
      </c>
      <c r="F83" s="173" t="s">
        <v>159</v>
      </c>
      <c r="G83" s="172" t="s">
        <v>167</v>
      </c>
      <c r="H83" s="171" t="s">
        <v>340</v>
      </c>
      <c r="I83" s="171"/>
      <c r="J83" s="171"/>
      <c r="K83" s="174"/>
      <c r="L83" s="174"/>
      <c r="M83" s="175"/>
      <c r="N83" s="174"/>
      <c r="O83" s="176"/>
      <c r="P83" s="176"/>
      <c r="Q83" s="206"/>
    </row>
    <row r="84" spans="1:17" x14ac:dyDescent="0.45">
      <c r="A84" s="193"/>
      <c r="B84" s="146" t="s">
        <v>346</v>
      </c>
      <c r="C84" s="152" t="s">
        <v>34</v>
      </c>
      <c r="D84" s="152" t="s">
        <v>163</v>
      </c>
      <c r="E84" s="153">
        <v>3</v>
      </c>
      <c r="F84" s="153" t="s">
        <v>159</v>
      </c>
      <c r="G84" s="152" t="s">
        <v>160</v>
      </c>
      <c r="H84" s="146" t="s">
        <v>340</v>
      </c>
      <c r="I84" s="146"/>
      <c r="J84" s="146"/>
      <c r="K84" s="149"/>
      <c r="L84" s="149"/>
      <c r="M84" s="149"/>
      <c r="N84" s="149"/>
      <c r="O84" s="151"/>
      <c r="P84" s="151"/>
      <c r="Q84" s="206"/>
    </row>
    <row r="85" spans="1:17" x14ac:dyDescent="0.45">
      <c r="A85" s="193"/>
      <c r="B85" s="146" t="s">
        <v>344</v>
      </c>
      <c r="C85" s="152" t="s">
        <v>108</v>
      </c>
      <c r="D85" s="152" t="s">
        <v>292</v>
      </c>
      <c r="E85" s="153">
        <v>3</v>
      </c>
      <c r="F85" s="153" t="s">
        <v>279</v>
      </c>
      <c r="G85" s="152" t="s">
        <v>210</v>
      </c>
      <c r="H85" s="146" t="s">
        <v>340</v>
      </c>
      <c r="I85" s="146"/>
      <c r="J85" s="151"/>
      <c r="K85" s="149"/>
      <c r="L85" s="149"/>
      <c r="M85" s="149"/>
      <c r="N85" s="149"/>
      <c r="O85" s="151"/>
      <c r="P85" s="151"/>
      <c r="Q85" s="206"/>
    </row>
    <row r="86" spans="1:17" x14ac:dyDescent="0.45">
      <c r="A86" s="193"/>
      <c r="B86" s="146" t="s">
        <v>345</v>
      </c>
      <c r="C86" s="152" t="s">
        <v>108</v>
      </c>
      <c r="D86" s="152" t="s">
        <v>296</v>
      </c>
      <c r="E86" s="153">
        <v>3</v>
      </c>
      <c r="F86" s="153" t="s">
        <v>279</v>
      </c>
      <c r="G86" s="152" t="s">
        <v>244</v>
      </c>
      <c r="H86" s="146"/>
      <c r="I86" s="146" t="s">
        <v>340</v>
      </c>
      <c r="J86" s="146"/>
      <c r="K86" s="149"/>
      <c r="L86" s="149"/>
      <c r="M86" s="150"/>
      <c r="N86" s="149"/>
      <c r="O86" s="151"/>
      <c r="P86" s="151"/>
      <c r="Q86" s="206"/>
    </row>
    <row r="87" spans="1:17" x14ac:dyDescent="0.45">
      <c r="A87" s="193"/>
      <c r="B87" s="146" t="s">
        <v>346</v>
      </c>
      <c r="C87" s="152" t="s">
        <v>38</v>
      </c>
      <c r="D87" s="152" t="s">
        <v>191</v>
      </c>
      <c r="E87" s="153">
        <v>3</v>
      </c>
      <c r="F87" s="153" t="s">
        <v>159</v>
      </c>
      <c r="G87" s="152" t="s">
        <v>192</v>
      </c>
      <c r="H87" s="146"/>
      <c r="I87" s="146" t="s">
        <v>340</v>
      </c>
      <c r="J87" s="146"/>
      <c r="K87" s="149"/>
      <c r="L87" s="149"/>
      <c r="M87" s="149"/>
      <c r="N87" s="149"/>
      <c r="O87" s="151"/>
      <c r="P87" s="151"/>
      <c r="Q87" s="206"/>
    </row>
    <row r="88" spans="1:17" x14ac:dyDescent="0.45">
      <c r="A88" s="193"/>
      <c r="B88" s="146" t="s">
        <v>344</v>
      </c>
      <c r="C88" s="152" t="s">
        <v>38</v>
      </c>
      <c r="D88" s="152" t="s">
        <v>193</v>
      </c>
      <c r="E88" s="153">
        <v>3</v>
      </c>
      <c r="F88" s="153" t="s">
        <v>159</v>
      </c>
      <c r="G88" s="152" t="s">
        <v>192</v>
      </c>
      <c r="H88" s="146"/>
      <c r="I88" s="146" t="s">
        <v>340</v>
      </c>
      <c r="J88" s="146"/>
      <c r="K88" s="149"/>
      <c r="L88" s="149"/>
      <c r="M88" s="149"/>
      <c r="N88" s="149"/>
      <c r="O88" s="151"/>
      <c r="P88" s="151"/>
      <c r="Q88" s="206"/>
    </row>
    <row r="89" spans="1:17" x14ac:dyDescent="0.45">
      <c r="A89" s="193"/>
      <c r="B89" s="146" t="s">
        <v>357</v>
      </c>
      <c r="C89" s="152" t="s">
        <v>38</v>
      </c>
      <c r="D89" s="152" t="s">
        <v>196</v>
      </c>
      <c r="E89" s="153">
        <v>3</v>
      </c>
      <c r="F89" s="153" t="s">
        <v>159</v>
      </c>
      <c r="G89" s="152" t="s">
        <v>197</v>
      </c>
      <c r="H89" s="146"/>
      <c r="I89" s="146"/>
      <c r="J89" s="146" t="s">
        <v>340</v>
      </c>
      <c r="K89" s="149"/>
      <c r="L89" s="149"/>
      <c r="M89" s="149"/>
      <c r="N89" s="149"/>
      <c r="O89" s="151"/>
      <c r="P89" s="151"/>
      <c r="Q89" s="206"/>
    </row>
    <row r="90" spans="1:17" x14ac:dyDescent="0.45">
      <c r="A90" s="193"/>
      <c r="B90" s="146" t="s">
        <v>358</v>
      </c>
      <c r="C90" s="152" t="s">
        <v>38</v>
      </c>
      <c r="D90" s="152" t="s">
        <v>199</v>
      </c>
      <c r="E90" s="153">
        <v>3</v>
      </c>
      <c r="F90" s="153" t="s">
        <v>159</v>
      </c>
      <c r="G90" s="152" t="s">
        <v>197</v>
      </c>
      <c r="H90" s="146"/>
      <c r="I90" s="146"/>
      <c r="J90" s="146" t="s">
        <v>340</v>
      </c>
      <c r="K90" s="149"/>
      <c r="L90" s="149"/>
      <c r="M90" s="149"/>
      <c r="N90" s="149"/>
      <c r="O90" s="151"/>
      <c r="P90" s="151"/>
      <c r="Q90" s="206"/>
    </row>
    <row r="91" spans="1:17" x14ac:dyDescent="0.45">
      <c r="A91" s="193"/>
      <c r="B91" s="146" t="s">
        <v>343</v>
      </c>
      <c r="C91" s="152"/>
      <c r="D91" s="152"/>
      <c r="E91" s="153"/>
      <c r="F91" s="153"/>
      <c r="G91" s="152"/>
      <c r="H91" s="146"/>
      <c r="I91" s="146"/>
      <c r="J91" s="146" t="s">
        <v>340</v>
      </c>
      <c r="K91" s="149"/>
      <c r="L91" s="149"/>
      <c r="M91" s="149"/>
      <c r="N91" s="149"/>
      <c r="O91" s="151"/>
      <c r="P91" s="151"/>
      <c r="Q91" s="206"/>
    </row>
    <row r="92" spans="1:17" x14ac:dyDescent="0.45">
      <c r="A92" s="193"/>
      <c r="B92" s="146" t="s">
        <v>345</v>
      </c>
      <c r="C92" s="152" t="s">
        <v>111</v>
      </c>
      <c r="D92" s="152" t="s">
        <v>304</v>
      </c>
      <c r="E92" s="153">
        <v>3</v>
      </c>
      <c r="F92" s="153" t="s">
        <v>279</v>
      </c>
      <c r="G92" s="152" t="s">
        <v>303</v>
      </c>
      <c r="H92" s="146"/>
      <c r="I92" s="151"/>
      <c r="J92" s="151"/>
      <c r="K92" s="149" t="s">
        <v>340</v>
      </c>
      <c r="L92" s="149"/>
      <c r="M92" s="149"/>
      <c r="N92" s="149"/>
      <c r="O92" s="151"/>
      <c r="P92" s="151"/>
      <c r="Q92" s="206"/>
    </row>
    <row r="93" spans="1:17" x14ac:dyDescent="0.45">
      <c r="A93" s="193"/>
      <c r="B93" s="146" t="s">
        <v>346</v>
      </c>
      <c r="C93" s="152" t="s">
        <v>42</v>
      </c>
      <c r="D93" s="152" t="s">
        <v>218</v>
      </c>
      <c r="E93" s="153">
        <v>3</v>
      </c>
      <c r="F93" s="153" t="s">
        <v>159</v>
      </c>
      <c r="G93" s="152" t="s">
        <v>217</v>
      </c>
      <c r="H93" s="151"/>
      <c r="I93" s="146"/>
      <c r="J93" s="151"/>
      <c r="K93" s="149" t="s">
        <v>340</v>
      </c>
      <c r="L93" s="149"/>
      <c r="M93" s="149"/>
      <c r="N93" s="149"/>
      <c r="O93" s="151"/>
      <c r="P93" s="151"/>
      <c r="Q93" s="206"/>
    </row>
    <row r="94" spans="1:17" x14ac:dyDescent="0.45">
      <c r="A94" s="193"/>
      <c r="B94" s="146" t="s">
        <v>344</v>
      </c>
      <c r="C94" s="152" t="s">
        <v>42</v>
      </c>
      <c r="D94" s="152" t="s">
        <v>215</v>
      </c>
      <c r="E94" s="153">
        <v>3</v>
      </c>
      <c r="F94" s="153" t="s">
        <v>159</v>
      </c>
      <c r="G94" s="152" t="s">
        <v>214</v>
      </c>
      <c r="H94" s="146"/>
      <c r="I94" s="151"/>
      <c r="J94" s="146"/>
      <c r="K94" s="149" t="s">
        <v>340</v>
      </c>
      <c r="L94" s="149"/>
      <c r="M94" s="149"/>
      <c r="N94" s="149"/>
      <c r="O94" s="151"/>
      <c r="P94" s="151"/>
      <c r="Q94" s="206"/>
    </row>
    <row r="95" spans="1:17" x14ac:dyDescent="0.45">
      <c r="A95" s="193"/>
      <c r="B95" s="146" t="s">
        <v>345</v>
      </c>
      <c r="C95" s="122" t="s">
        <v>44</v>
      </c>
      <c r="D95" s="122" t="s">
        <v>227</v>
      </c>
      <c r="E95" s="130">
        <v>3</v>
      </c>
      <c r="F95" s="130" t="s">
        <v>159</v>
      </c>
      <c r="G95" s="122" t="s">
        <v>222</v>
      </c>
      <c r="H95" s="151"/>
      <c r="I95" s="146"/>
      <c r="J95" s="146"/>
      <c r="K95" s="149"/>
      <c r="L95" s="149" t="s">
        <v>340</v>
      </c>
      <c r="M95" s="149"/>
      <c r="N95" s="149"/>
      <c r="O95" s="151"/>
      <c r="P95" s="151"/>
      <c r="Q95" s="206"/>
    </row>
    <row r="96" spans="1:17" x14ac:dyDescent="0.45">
      <c r="A96" s="193"/>
      <c r="B96" s="146" t="s">
        <v>346</v>
      </c>
      <c r="C96" s="152" t="s">
        <v>113</v>
      </c>
      <c r="D96" s="152" t="s">
        <v>311</v>
      </c>
      <c r="E96" s="153">
        <v>3</v>
      </c>
      <c r="F96" s="153" t="s">
        <v>279</v>
      </c>
      <c r="G96" s="152" t="s">
        <v>303</v>
      </c>
      <c r="H96" s="151"/>
      <c r="I96" s="146"/>
      <c r="J96" s="146"/>
      <c r="K96" s="149"/>
      <c r="L96" s="149" t="s">
        <v>340</v>
      </c>
      <c r="M96" s="149"/>
      <c r="N96" s="149"/>
      <c r="O96" s="151"/>
      <c r="P96" s="151"/>
      <c r="Q96" s="206"/>
    </row>
    <row r="97" spans="1:17" x14ac:dyDescent="0.45">
      <c r="A97" s="193"/>
      <c r="B97" s="146" t="s">
        <v>344</v>
      </c>
      <c r="C97" s="152" t="s">
        <v>77</v>
      </c>
      <c r="D97" s="152" t="s">
        <v>271</v>
      </c>
      <c r="E97" s="163">
        <v>3</v>
      </c>
      <c r="F97" s="163" t="s">
        <v>229</v>
      </c>
      <c r="G97" s="152" t="s">
        <v>272</v>
      </c>
      <c r="H97" s="151"/>
      <c r="I97" s="146"/>
      <c r="J97" s="146"/>
      <c r="K97" s="149"/>
      <c r="L97" s="149" t="s">
        <v>340</v>
      </c>
      <c r="M97" s="149"/>
      <c r="N97" s="149"/>
      <c r="O97" s="151"/>
      <c r="P97" s="151"/>
      <c r="Q97" s="206"/>
    </row>
    <row r="98" spans="1:17" x14ac:dyDescent="0.45">
      <c r="A98" s="193"/>
      <c r="B98" s="146" t="s">
        <v>345</v>
      </c>
      <c r="C98" s="152" t="s">
        <v>77</v>
      </c>
      <c r="D98" s="152" t="s">
        <v>274</v>
      </c>
      <c r="E98" s="153">
        <v>3</v>
      </c>
      <c r="F98" s="153" t="s">
        <v>229</v>
      </c>
      <c r="G98" s="152" t="s">
        <v>250</v>
      </c>
      <c r="H98" s="151"/>
      <c r="I98" s="146"/>
      <c r="J98" s="146"/>
      <c r="K98" s="149"/>
      <c r="L98" s="149"/>
      <c r="M98" s="149" t="s">
        <v>340</v>
      </c>
      <c r="N98" s="149"/>
      <c r="O98" s="151"/>
      <c r="P98" s="151"/>
      <c r="Q98" s="206"/>
    </row>
    <row r="99" spans="1:17" x14ac:dyDescent="0.45">
      <c r="A99" s="193"/>
      <c r="B99" s="146" t="s">
        <v>346</v>
      </c>
      <c r="C99" s="152" t="s">
        <v>44</v>
      </c>
      <c r="D99" s="152" t="s">
        <v>220</v>
      </c>
      <c r="E99" s="153">
        <v>3</v>
      </c>
      <c r="F99" s="153" t="s">
        <v>159</v>
      </c>
      <c r="G99" s="152" t="s">
        <v>167</v>
      </c>
      <c r="H99" s="151"/>
      <c r="I99" s="146"/>
      <c r="J99" s="146"/>
      <c r="K99" s="149"/>
      <c r="L99" s="149"/>
      <c r="M99" s="149" t="s">
        <v>340</v>
      </c>
      <c r="N99" s="149"/>
      <c r="O99" s="151"/>
      <c r="P99" s="151"/>
      <c r="Q99" s="206"/>
    </row>
    <row r="100" spans="1:17" x14ac:dyDescent="0.45">
      <c r="A100" s="193"/>
      <c r="B100" s="146" t="s">
        <v>344</v>
      </c>
      <c r="C100" s="152" t="s">
        <v>70</v>
      </c>
      <c r="D100" s="152" t="s">
        <v>255</v>
      </c>
      <c r="E100" s="153">
        <v>3</v>
      </c>
      <c r="F100" s="153" t="s">
        <v>229</v>
      </c>
      <c r="G100" s="152" t="s">
        <v>254</v>
      </c>
      <c r="H100" s="146"/>
      <c r="I100" s="146"/>
      <c r="J100" s="146"/>
      <c r="K100" s="149"/>
      <c r="L100" s="149"/>
      <c r="M100" s="149" t="s">
        <v>340</v>
      </c>
      <c r="N100" s="149"/>
      <c r="O100" s="151"/>
      <c r="P100" s="151"/>
      <c r="Q100" s="206"/>
    </row>
    <row r="101" spans="1:17" x14ac:dyDescent="0.45">
      <c r="A101" s="193"/>
      <c r="B101" s="146" t="s">
        <v>345</v>
      </c>
      <c r="C101" s="152" t="s">
        <v>75</v>
      </c>
      <c r="D101" s="152" t="s">
        <v>270</v>
      </c>
      <c r="E101" s="153">
        <v>3</v>
      </c>
      <c r="F101" s="153" t="s">
        <v>229</v>
      </c>
      <c r="G101" s="152" t="s">
        <v>265</v>
      </c>
      <c r="H101" s="151"/>
      <c r="I101" s="146"/>
      <c r="J101" s="151"/>
      <c r="K101" s="149"/>
      <c r="L101" s="149"/>
      <c r="M101" s="149"/>
      <c r="N101" s="149" t="s">
        <v>340</v>
      </c>
      <c r="O101" s="151"/>
      <c r="P101" s="151"/>
      <c r="Q101" s="206"/>
    </row>
    <row r="102" spans="1:17" x14ac:dyDescent="0.45">
      <c r="A102" s="193"/>
      <c r="B102" s="146" t="s">
        <v>346</v>
      </c>
      <c r="C102" s="152" t="s">
        <v>73</v>
      </c>
      <c r="D102" s="152" t="s">
        <v>259</v>
      </c>
      <c r="E102" s="153">
        <v>3</v>
      </c>
      <c r="F102" s="153" t="s">
        <v>229</v>
      </c>
      <c r="G102" s="152" t="s">
        <v>257</v>
      </c>
      <c r="H102" s="146"/>
      <c r="I102" s="151"/>
      <c r="J102" s="146"/>
      <c r="K102" s="149"/>
      <c r="L102" s="149"/>
      <c r="M102" s="149"/>
      <c r="N102" s="149" t="s">
        <v>340</v>
      </c>
      <c r="O102" s="151"/>
      <c r="P102" s="151"/>
      <c r="Q102" s="206"/>
    </row>
    <row r="103" spans="1:17" x14ac:dyDescent="0.45">
      <c r="A103" s="193"/>
      <c r="B103" s="146" t="s">
        <v>344</v>
      </c>
      <c r="C103" s="152" t="s">
        <v>73</v>
      </c>
      <c r="D103" s="152" t="s">
        <v>260</v>
      </c>
      <c r="E103" s="153">
        <v>3</v>
      </c>
      <c r="F103" s="153" t="s">
        <v>229</v>
      </c>
      <c r="G103" s="152" t="s">
        <v>257</v>
      </c>
      <c r="H103" s="151"/>
      <c r="I103" s="146"/>
      <c r="J103" s="151"/>
      <c r="K103" s="149"/>
      <c r="L103" s="149"/>
      <c r="M103" s="149"/>
      <c r="N103" s="149" t="s">
        <v>340</v>
      </c>
      <c r="O103" s="151"/>
      <c r="P103" s="151"/>
      <c r="Q103" s="206"/>
    </row>
    <row r="104" spans="1:17" x14ac:dyDescent="0.45">
      <c r="A104" s="193"/>
      <c r="B104" s="146" t="s">
        <v>345</v>
      </c>
      <c r="C104" s="152" t="s">
        <v>106</v>
      </c>
      <c r="D104" s="152" t="s">
        <v>289</v>
      </c>
      <c r="E104" s="153">
        <v>3</v>
      </c>
      <c r="F104" s="153" t="s">
        <v>279</v>
      </c>
      <c r="G104" s="152" t="s">
        <v>254</v>
      </c>
      <c r="H104" s="151"/>
      <c r="I104" s="151"/>
      <c r="J104" s="151"/>
      <c r="K104" s="149"/>
      <c r="L104" s="149"/>
      <c r="M104" s="150"/>
      <c r="N104" s="149"/>
      <c r="O104" s="146" t="s">
        <v>340</v>
      </c>
      <c r="P104" s="151"/>
      <c r="Q104" s="206"/>
    </row>
    <row r="105" spans="1:17" x14ac:dyDescent="0.45">
      <c r="A105" s="193"/>
      <c r="B105" s="146" t="s">
        <v>346</v>
      </c>
      <c r="C105" s="152" t="s">
        <v>108</v>
      </c>
      <c r="D105" s="152" t="s">
        <v>293</v>
      </c>
      <c r="E105" s="153">
        <v>3</v>
      </c>
      <c r="F105" s="153" t="s">
        <v>279</v>
      </c>
      <c r="G105" s="152" t="s">
        <v>225</v>
      </c>
      <c r="H105" s="151"/>
      <c r="I105" s="151"/>
      <c r="J105" s="151"/>
      <c r="K105" s="149"/>
      <c r="L105" s="149"/>
      <c r="M105" s="150"/>
      <c r="N105" s="149"/>
      <c r="O105" s="146" t="s">
        <v>340</v>
      </c>
      <c r="P105" s="151"/>
      <c r="Q105" s="206"/>
    </row>
    <row r="106" spans="1:17" x14ac:dyDescent="0.45">
      <c r="A106" s="193"/>
      <c r="B106" s="146" t="s">
        <v>344</v>
      </c>
      <c r="C106" s="122" t="s">
        <v>40</v>
      </c>
      <c r="D106" s="122" t="s">
        <v>207</v>
      </c>
      <c r="E106" s="129">
        <v>3</v>
      </c>
      <c r="F106" s="129" t="s">
        <v>159</v>
      </c>
      <c r="G106" s="122" t="s">
        <v>172</v>
      </c>
      <c r="H106" s="151"/>
      <c r="I106" s="151"/>
      <c r="J106" s="151"/>
      <c r="K106" s="149"/>
      <c r="L106" s="149"/>
      <c r="M106" s="150"/>
      <c r="N106" s="149"/>
      <c r="O106" s="146" t="s">
        <v>340</v>
      </c>
      <c r="P106" s="151"/>
      <c r="Q106" s="206"/>
    </row>
    <row r="107" spans="1:17" x14ac:dyDescent="0.45">
      <c r="A107" s="193"/>
      <c r="B107" s="146" t="s">
        <v>345</v>
      </c>
      <c r="C107" s="122" t="s">
        <v>40</v>
      </c>
      <c r="D107" s="122" t="s">
        <v>205</v>
      </c>
      <c r="E107" s="129">
        <v>3</v>
      </c>
      <c r="F107" s="129" t="s">
        <v>159</v>
      </c>
      <c r="G107" s="122" t="s">
        <v>201</v>
      </c>
      <c r="H107" s="151"/>
      <c r="I107" s="151"/>
      <c r="J107" s="151"/>
      <c r="K107" s="149"/>
      <c r="L107" s="149"/>
      <c r="M107" s="150"/>
      <c r="N107" s="149"/>
      <c r="O107" s="151"/>
      <c r="P107" s="146" t="s">
        <v>340</v>
      </c>
      <c r="Q107" s="206"/>
    </row>
    <row r="108" spans="1:17" x14ac:dyDescent="0.45">
      <c r="A108" s="193"/>
      <c r="B108" s="146" t="s">
        <v>346</v>
      </c>
      <c r="C108" s="122" t="s">
        <v>40</v>
      </c>
      <c r="D108" s="122" t="s">
        <v>206</v>
      </c>
      <c r="E108" s="129">
        <v>3</v>
      </c>
      <c r="F108" s="129" t="s">
        <v>159</v>
      </c>
      <c r="G108" s="122" t="s">
        <v>172</v>
      </c>
      <c r="H108" s="151"/>
      <c r="I108" s="151"/>
      <c r="J108" s="151"/>
      <c r="K108" s="149"/>
      <c r="L108" s="149"/>
      <c r="M108" s="150"/>
      <c r="N108" s="149"/>
      <c r="O108" s="151"/>
      <c r="P108" s="146" t="s">
        <v>340</v>
      </c>
      <c r="Q108" s="206"/>
    </row>
    <row r="109" spans="1:17" x14ac:dyDescent="0.45">
      <c r="A109" s="193"/>
      <c r="B109" s="146" t="s">
        <v>344</v>
      </c>
      <c r="C109" s="146"/>
      <c r="D109" s="177"/>
      <c r="E109" s="146"/>
      <c r="F109" s="146"/>
      <c r="G109" s="146"/>
      <c r="H109" s="151"/>
      <c r="I109" s="151"/>
      <c r="J109" s="151"/>
      <c r="K109" s="149"/>
      <c r="L109" s="149"/>
      <c r="M109" s="150"/>
      <c r="N109" s="149"/>
      <c r="O109" s="151"/>
      <c r="P109" s="146" t="s">
        <v>340</v>
      </c>
      <c r="Q109" s="206"/>
    </row>
    <row r="110" spans="1:17" x14ac:dyDescent="0.45">
      <c r="A110" s="193"/>
      <c r="B110" s="146" t="s">
        <v>345</v>
      </c>
      <c r="C110" s="152" t="s">
        <v>64</v>
      </c>
      <c r="D110" s="152" t="s">
        <v>232</v>
      </c>
      <c r="E110" s="153">
        <v>3</v>
      </c>
      <c r="F110" s="153" t="s">
        <v>229</v>
      </c>
      <c r="G110" s="152" t="s">
        <v>230</v>
      </c>
      <c r="H110" s="194" t="s">
        <v>347</v>
      </c>
      <c r="I110" s="194"/>
      <c r="J110" s="194"/>
      <c r="K110" s="194"/>
      <c r="L110" s="194"/>
      <c r="M110" s="194"/>
      <c r="N110" s="194"/>
      <c r="O110" s="194"/>
      <c r="P110" s="194"/>
      <c r="Q110" s="206" t="s">
        <v>340</v>
      </c>
    </row>
    <row r="111" spans="1:17" x14ac:dyDescent="0.45">
      <c r="A111" s="193"/>
      <c r="B111" s="146" t="s">
        <v>346</v>
      </c>
      <c r="C111" s="152" t="s">
        <v>64</v>
      </c>
      <c r="D111" s="152" t="s">
        <v>233</v>
      </c>
      <c r="E111" s="153">
        <v>3</v>
      </c>
      <c r="F111" s="153" t="s">
        <v>229</v>
      </c>
      <c r="G111" s="152" t="s">
        <v>230</v>
      </c>
      <c r="H111" s="194"/>
      <c r="I111" s="194"/>
      <c r="J111" s="194"/>
      <c r="K111" s="194"/>
      <c r="L111" s="194"/>
      <c r="M111" s="194"/>
      <c r="N111" s="194"/>
      <c r="O111" s="194"/>
      <c r="P111" s="194"/>
      <c r="Q111" s="206" t="s">
        <v>340</v>
      </c>
    </row>
    <row r="112" spans="1:17" x14ac:dyDescent="0.45">
      <c r="A112" s="193"/>
      <c r="B112" s="178" t="s">
        <v>343</v>
      </c>
      <c r="C112" s="179"/>
      <c r="D112" s="179"/>
      <c r="E112" s="179"/>
      <c r="F112" s="179"/>
      <c r="G112" s="179"/>
      <c r="H112" s="194"/>
      <c r="I112" s="194"/>
      <c r="J112" s="194"/>
      <c r="K112" s="194"/>
      <c r="L112" s="194"/>
      <c r="M112" s="194"/>
      <c r="N112" s="194"/>
      <c r="O112" s="194"/>
      <c r="P112" s="194"/>
      <c r="Q112" s="206"/>
    </row>
    <row r="113" spans="1:18" x14ac:dyDescent="0.45">
      <c r="B113" s="170"/>
      <c r="P113" s="170"/>
    </row>
    <row r="114" spans="1:18" x14ac:dyDescent="0.45">
      <c r="B114" s="170"/>
      <c r="P114" s="170"/>
    </row>
    <row r="115" spans="1:18" x14ac:dyDescent="0.45">
      <c r="A115" s="190" t="s">
        <v>326</v>
      </c>
      <c r="B115" s="191" t="s">
        <v>327</v>
      </c>
      <c r="C115" s="191" t="s">
        <v>328</v>
      </c>
      <c r="D115" s="191" t="s">
        <v>329</v>
      </c>
      <c r="E115" s="191" t="s">
        <v>6</v>
      </c>
      <c r="F115" s="191" t="s">
        <v>330</v>
      </c>
      <c r="G115" s="191" t="s">
        <v>351</v>
      </c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206"/>
    </row>
    <row r="116" spans="1:18" x14ac:dyDescent="0.45">
      <c r="A116" s="190"/>
      <c r="B116" s="191"/>
      <c r="C116" s="191"/>
      <c r="D116" s="191"/>
      <c r="E116" s="191"/>
      <c r="F116" s="191"/>
      <c r="G116" s="191"/>
      <c r="H116" s="186" t="s">
        <v>331</v>
      </c>
      <c r="I116" s="186"/>
      <c r="J116" s="186"/>
      <c r="K116" s="186" t="s">
        <v>332</v>
      </c>
      <c r="L116" s="186"/>
      <c r="M116" s="186"/>
      <c r="N116" s="186"/>
      <c r="O116" s="187" t="s">
        <v>352</v>
      </c>
      <c r="P116" s="187"/>
      <c r="Q116" s="180" t="s">
        <v>359</v>
      </c>
      <c r="R116" s="207" t="s">
        <v>368</v>
      </c>
    </row>
    <row r="117" spans="1:18" x14ac:dyDescent="0.45">
      <c r="A117" s="190"/>
      <c r="B117" s="191"/>
      <c r="C117" s="191"/>
      <c r="D117" s="191"/>
      <c r="E117" s="191"/>
      <c r="F117" s="191"/>
      <c r="G117" s="191"/>
      <c r="H117" s="143">
        <v>2</v>
      </c>
      <c r="I117" s="143">
        <v>3</v>
      </c>
      <c r="J117" s="143">
        <v>4</v>
      </c>
      <c r="K117" s="143" t="s">
        <v>334</v>
      </c>
      <c r="L117" s="143" t="s">
        <v>159</v>
      </c>
      <c r="M117" s="143" t="s">
        <v>335</v>
      </c>
      <c r="N117" s="143" t="s">
        <v>229</v>
      </c>
      <c r="O117" s="144" t="s">
        <v>334</v>
      </c>
      <c r="P117" s="145" t="s">
        <v>159</v>
      </c>
      <c r="Q117" s="180" t="s">
        <v>334</v>
      </c>
      <c r="R117" s="206"/>
    </row>
    <row r="118" spans="1:18" ht="13.5" customHeight="1" x14ac:dyDescent="0.45">
      <c r="A118" s="188" t="s">
        <v>360</v>
      </c>
      <c r="B118" s="146" t="s">
        <v>345</v>
      </c>
      <c r="C118" s="152" t="s">
        <v>106</v>
      </c>
      <c r="D118" s="152" t="s">
        <v>286</v>
      </c>
      <c r="E118" s="153">
        <v>3</v>
      </c>
      <c r="F118" s="153" t="s">
        <v>279</v>
      </c>
      <c r="G118" s="152" t="s">
        <v>287</v>
      </c>
      <c r="H118" s="146" t="s">
        <v>340</v>
      </c>
      <c r="I118" s="146"/>
      <c r="J118" s="146"/>
      <c r="K118" s="149"/>
      <c r="L118" s="149"/>
      <c r="M118" s="150"/>
      <c r="N118" s="149"/>
      <c r="O118" s="151"/>
      <c r="P118" s="151"/>
      <c r="Q118" s="151"/>
      <c r="R118" s="206"/>
    </row>
    <row r="119" spans="1:18" x14ac:dyDescent="0.45">
      <c r="A119" s="188"/>
      <c r="B119" s="146" t="s">
        <v>346</v>
      </c>
      <c r="C119" s="152" t="s">
        <v>108</v>
      </c>
      <c r="D119" s="152" t="s">
        <v>295</v>
      </c>
      <c r="E119" s="153">
        <v>3</v>
      </c>
      <c r="F119" s="153" t="s">
        <v>279</v>
      </c>
      <c r="G119" s="152" t="s">
        <v>225</v>
      </c>
      <c r="H119" s="146" t="s">
        <v>340</v>
      </c>
      <c r="I119" s="146"/>
      <c r="J119" s="146"/>
      <c r="K119" s="149"/>
      <c r="L119" s="149"/>
      <c r="M119" s="149"/>
      <c r="N119" s="149"/>
      <c r="O119" s="151"/>
      <c r="P119" s="151"/>
      <c r="Q119" s="151"/>
      <c r="R119" s="206"/>
    </row>
    <row r="120" spans="1:18" x14ac:dyDescent="0.45">
      <c r="A120" s="188"/>
      <c r="B120" s="146" t="s">
        <v>344</v>
      </c>
      <c r="C120" s="122" t="s">
        <v>66</v>
      </c>
      <c r="D120" s="122" t="s">
        <v>238</v>
      </c>
      <c r="E120" s="129">
        <v>3</v>
      </c>
      <c r="F120" s="129" t="s">
        <v>229</v>
      </c>
      <c r="G120" s="122" t="s">
        <v>237</v>
      </c>
      <c r="H120" s="146" t="s">
        <v>340</v>
      </c>
      <c r="I120" s="146"/>
      <c r="J120" s="151"/>
      <c r="K120" s="149"/>
      <c r="L120" s="149"/>
      <c r="M120" s="149"/>
      <c r="N120" s="149"/>
      <c r="O120" s="151"/>
      <c r="P120" s="151"/>
      <c r="Q120" s="151"/>
      <c r="R120" s="206"/>
    </row>
    <row r="121" spans="1:18" x14ac:dyDescent="0.45">
      <c r="A121" s="188"/>
      <c r="B121" s="146" t="s">
        <v>345</v>
      </c>
      <c r="C121" s="122" t="s">
        <v>66</v>
      </c>
      <c r="D121" s="122" t="s">
        <v>239</v>
      </c>
      <c r="E121" s="130">
        <v>3</v>
      </c>
      <c r="F121" s="130" t="s">
        <v>229</v>
      </c>
      <c r="G121" s="122" t="s">
        <v>237</v>
      </c>
      <c r="H121" s="146"/>
      <c r="I121" s="146" t="s">
        <v>340</v>
      </c>
      <c r="J121" s="146"/>
      <c r="K121" s="149"/>
      <c r="L121" s="149"/>
      <c r="M121" s="150"/>
      <c r="N121" s="149"/>
      <c r="O121" s="151"/>
      <c r="P121" s="151"/>
      <c r="Q121" s="151"/>
      <c r="R121" s="206"/>
    </row>
    <row r="122" spans="1:18" x14ac:dyDescent="0.45">
      <c r="A122" s="188"/>
      <c r="B122" s="146" t="s">
        <v>358</v>
      </c>
      <c r="C122" s="122" t="s">
        <v>106</v>
      </c>
      <c r="D122" s="122" t="s">
        <v>291</v>
      </c>
      <c r="E122" s="129">
        <v>3</v>
      </c>
      <c r="F122" s="129" t="s">
        <v>279</v>
      </c>
      <c r="G122" s="122" t="s">
        <v>272</v>
      </c>
      <c r="H122" s="146"/>
      <c r="I122" s="146" t="s">
        <v>340</v>
      </c>
      <c r="J122" s="146"/>
      <c r="K122" s="149"/>
      <c r="L122" s="149"/>
      <c r="M122" s="149"/>
      <c r="N122" s="149"/>
      <c r="O122" s="151"/>
      <c r="P122" s="151"/>
      <c r="Q122" s="151"/>
      <c r="R122" s="206"/>
    </row>
    <row r="123" spans="1:18" x14ac:dyDescent="0.45">
      <c r="A123" s="188"/>
      <c r="B123" s="146" t="s">
        <v>343</v>
      </c>
      <c r="C123" s="122" t="s">
        <v>106</v>
      </c>
      <c r="D123" s="122" t="s">
        <v>290</v>
      </c>
      <c r="E123" s="129">
        <v>3</v>
      </c>
      <c r="F123" s="129" t="s">
        <v>279</v>
      </c>
      <c r="G123" s="122" t="s">
        <v>272</v>
      </c>
      <c r="H123" s="146"/>
      <c r="I123" s="146" t="s">
        <v>340</v>
      </c>
      <c r="J123" s="146"/>
      <c r="K123" s="149"/>
      <c r="L123" s="149"/>
      <c r="M123" s="149"/>
      <c r="N123" s="149"/>
      <c r="O123" s="151"/>
      <c r="P123" s="151"/>
      <c r="Q123" s="151"/>
      <c r="R123" s="206"/>
    </row>
    <row r="124" spans="1:18" x14ac:dyDescent="0.45">
      <c r="A124" s="188"/>
      <c r="B124" s="146" t="s">
        <v>345</v>
      </c>
      <c r="C124" s="122" t="s">
        <v>116</v>
      </c>
      <c r="D124" s="122" t="s">
        <v>315</v>
      </c>
      <c r="E124" s="129">
        <v>3</v>
      </c>
      <c r="F124" s="129" t="s">
        <v>279</v>
      </c>
      <c r="G124" s="181"/>
      <c r="H124" s="146"/>
      <c r="I124" s="146"/>
      <c r="J124" s="146" t="s">
        <v>340</v>
      </c>
      <c r="K124" s="149"/>
      <c r="L124" s="149"/>
      <c r="M124" s="149"/>
      <c r="N124" s="149"/>
      <c r="O124" s="151"/>
      <c r="P124" s="151"/>
      <c r="Q124" s="151"/>
      <c r="R124" s="206"/>
    </row>
    <row r="125" spans="1:18" x14ac:dyDescent="0.45">
      <c r="A125" s="188"/>
      <c r="B125" s="146" t="s">
        <v>346</v>
      </c>
      <c r="C125" s="163"/>
      <c r="D125" s="152"/>
      <c r="E125" s="163"/>
      <c r="F125" s="163"/>
      <c r="G125" s="152"/>
      <c r="H125" s="146"/>
      <c r="I125" s="146"/>
      <c r="J125" s="146" t="s">
        <v>340</v>
      </c>
      <c r="K125" s="149"/>
      <c r="L125" s="149"/>
      <c r="M125" s="149"/>
      <c r="N125" s="149"/>
      <c r="O125" s="151"/>
      <c r="P125" s="151"/>
      <c r="Q125" s="151"/>
      <c r="R125" s="206"/>
    </row>
    <row r="126" spans="1:18" x14ac:dyDescent="0.45">
      <c r="A126" s="188"/>
      <c r="B126" s="146" t="s">
        <v>344</v>
      </c>
      <c r="C126" s="122" t="s">
        <v>66</v>
      </c>
      <c r="D126" s="122" t="s">
        <v>241</v>
      </c>
      <c r="E126" s="129">
        <v>3</v>
      </c>
      <c r="F126" s="129" t="s">
        <v>229</v>
      </c>
      <c r="G126" s="122" t="s">
        <v>242</v>
      </c>
      <c r="H126" s="146"/>
      <c r="I126" s="146"/>
      <c r="J126" s="146" t="s">
        <v>340</v>
      </c>
      <c r="K126" s="149"/>
      <c r="L126" s="149"/>
      <c r="M126" s="149"/>
      <c r="N126" s="149"/>
      <c r="O126" s="151"/>
      <c r="P126" s="151"/>
      <c r="Q126" s="151"/>
      <c r="R126" s="206"/>
    </row>
    <row r="127" spans="1:18" x14ac:dyDescent="0.45">
      <c r="A127" s="188"/>
      <c r="B127" s="146" t="s">
        <v>345</v>
      </c>
      <c r="C127" s="122" t="s">
        <v>113</v>
      </c>
      <c r="D127" s="122" t="s">
        <v>310</v>
      </c>
      <c r="E127" s="129">
        <v>3</v>
      </c>
      <c r="F127" s="129" t="s">
        <v>279</v>
      </c>
      <c r="G127" s="122" t="s">
        <v>303</v>
      </c>
      <c r="H127" s="146"/>
      <c r="I127" s="151"/>
      <c r="J127" s="151"/>
      <c r="K127" s="149" t="s">
        <v>340</v>
      </c>
      <c r="L127" s="149"/>
      <c r="M127" s="149"/>
      <c r="N127" s="149"/>
      <c r="O127" s="151"/>
      <c r="P127" s="151"/>
      <c r="Q127" s="151"/>
      <c r="R127" s="206"/>
    </row>
    <row r="128" spans="1:18" x14ac:dyDescent="0.45">
      <c r="A128" s="188"/>
      <c r="B128" s="146" t="s">
        <v>346</v>
      </c>
      <c r="C128" s="152" t="s">
        <v>75</v>
      </c>
      <c r="D128" s="152" t="s">
        <v>268</v>
      </c>
      <c r="E128" s="153">
        <v>3</v>
      </c>
      <c r="F128" s="153" t="s">
        <v>229</v>
      </c>
      <c r="G128" s="152" t="s">
        <v>217</v>
      </c>
      <c r="H128" s="151"/>
      <c r="I128" s="146"/>
      <c r="J128" s="151"/>
      <c r="K128" s="149" t="s">
        <v>340</v>
      </c>
      <c r="L128" s="149"/>
      <c r="M128" s="149"/>
      <c r="N128" s="149"/>
      <c r="O128" s="151"/>
      <c r="P128" s="151"/>
      <c r="Q128" s="151"/>
      <c r="R128" s="206"/>
    </row>
    <row r="129" spans="1:18" x14ac:dyDescent="0.45">
      <c r="A129" s="188"/>
      <c r="B129" s="146" t="s">
        <v>344</v>
      </c>
      <c r="C129" s="152" t="s">
        <v>111</v>
      </c>
      <c r="D129" s="152" t="s">
        <v>300</v>
      </c>
      <c r="E129" s="153">
        <v>3</v>
      </c>
      <c r="F129" s="153" t="s">
        <v>279</v>
      </c>
      <c r="G129" s="152" t="s">
        <v>298</v>
      </c>
      <c r="H129" s="146"/>
      <c r="I129" s="151"/>
      <c r="J129" s="146"/>
      <c r="K129" s="149" t="s">
        <v>340</v>
      </c>
      <c r="L129" s="149"/>
      <c r="M129" s="149"/>
      <c r="N129" s="149"/>
      <c r="O129" s="151"/>
      <c r="P129" s="151"/>
      <c r="Q129" s="151"/>
      <c r="R129" s="206"/>
    </row>
    <row r="130" spans="1:18" x14ac:dyDescent="0.45">
      <c r="A130" s="188"/>
      <c r="B130" s="146" t="s">
        <v>345</v>
      </c>
      <c r="C130" s="152" t="s">
        <v>70</v>
      </c>
      <c r="D130" s="152" t="s">
        <v>253</v>
      </c>
      <c r="E130" s="153">
        <v>3</v>
      </c>
      <c r="F130" s="153" t="s">
        <v>229</v>
      </c>
      <c r="G130" s="152" t="s">
        <v>254</v>
      </c>
      <c r="H130" s="151"/>
      <c r="I130" s="146"/>
      <c r="J130" s="146"/>
      <c r="K130" s="149"/>
      <c r="L130" s="149" t="s">
        <v>340</v>
      </c>
      <c r="M130" s="149"/>
      <c r="N130" s="149"/>
      <c r="O130" s="151"/>
      <c r="P130" s="151"/>
      <c r="Q130" s="151"/>
      <c r="R130" s="206"/>
    </row>
    <row r="131" spans="1:18" x14ac:dyDescent="0.45">
      <c r="A131" s="188"/>
      <c r="B131" s="146" t="s">
        <v>346</v>
      </c>
      <c r="C131" s="152" t="s">
        <v>73</v>
      </c>
      <c r="D131" s="152" t="s">
        <v>256</v>
      </c>
      <c r="E131" s="153">
        <v>3</v>
      </c>
      <c r="F131" s="153" t="s">
        <v>229</v>
      </c>
      <c r="G131" s="152" t="s">
        <v>257</v>
      </c>
      <c r="H131" s="151"/>
      <c r="I131" s="146"/>
      <c r="J131" s="146"/>
      <c r="K131" s="149"/>
      <c r="L131" s="149" t="s">
        <v>340</v>
      </c>
      <c r="M131" s="149"/>
      <c r="N131" s="149"/>
      <c r="O131" s="151"/>
      <c r="P131" s="151"/>
      <c r="Q131" s="151"/>
      <c r="R131" s="206"/>
    </row>
    <row r="132" spans="1:18" x14ac:dyDescent="0.45">
      <c r="A132" s="188"/>
      <c r="B132" s="146" t="s">
        <v>344</v>
      </c>
      <c r="C132" s="152" t="s">
        <v>73</v>
      </c>
      <c r="D132" s="152" t="s">
        <v>258</v>
      </c>
      <c r="E132" s="153">
        <v>3</v>
      </c>
      <c r="F132" s="153" t="s">
        <v>229</v>
      </c>
      <c r="G132" s="152" t="s">
        <v>257</v>
      </c>
      <c r="H132" s="151"/>
      <c r="I132" s="146"/>
      <c r="J132" s="146"/>
      <c r="K132" s="149"/>
      <c r="L132" s="149" t="s">
        <v>340</v>
      </c>
      <c r="M132" s="149"/>
      <c r="N132" s="149"/>
      <c r="O132" s="151"/>
      <c r="P132" s="151"/>
      <c r="Q132" s="151"/>
      <c r="R132" s="206"/>
    </row>
    <row r="133" spans="1:18" x14ac:dyDescent="0.45">
      <c r="A133" s="188"/>
      <c r="B133" s="146" t="s">
        <v>345</v>
      </c>
      <c r="C133" s="122" t="s">
        <v>75</v>
      </c>
      <c r="D133" s="122" t="s">
        <v>264</v>
      </c>
      <c r="E133" s="129">
        <v>3</v>
      </c>
      <c r="F133" s="129" t="s">
        <v>229</v>
      </c>
      <c r="G133" s="122" t="s">
        <v>265</v>
      </c>
      <c r="H133" s="151"/>
      <c r="I133" s="146"/>
      <c r="J133" s="146"/>
      <c r="K133" s="149"/>
      <c r="L133" s="149"/>
      <c r="M133" s="149" t="s">
        <v>340</v>
      </c>
      <c r="N133" s="149"/>
      <c r="O133" s="151"/>
      <c r="P133" s="151"/>
      <c r="Q133" s="151"/>
      <c r="R133" s="206"/>
    </row>
    <row r="134" spans="1:18" x14ac:dyDescent="0.45">
      <c r="A134" s="188"/>
      <c r="B134" s="146" t="s">
        <v>346</v>
      </c>
      <c r="C134" s="152"/>
      <c r="D134" s="152"/>
      <c r="E134" s="153"/>
      <c r="F134" s="153"/>
      <c r="G134" s="152"/>
      <c r="H134" s="151"/>
      <c r="I134" s="146"/>
      <c r="J134" s="146"/>
      <c r="K134" s="149"/>
      <c r="L134" s="149"/>
      <c r="M134" s="149" t="s">
        <v>340</v>
      </c>
      <c r="N134" s="149"/>
      <c r="O134" s="151"/>
      <c r="P134" s="151"/>
      <c r="Q134" s="151"/>
      <c r="R134" s="206"/>
    </row>
    <row r="135" spans="1:18" x14ac:dyDescent="0.45">
      <c r="A135" s="188"/>
      <c r="B135" s="146" t="s">
        <v>344</v>
      </c>
      <c r="C135" s="122" t="s">
        <v>113</v>
      </c>
      <c r="D135" s="122" t="s">
        <v>305</v>
      </c>
      <c r="E135" s="129">
        <v>3</v>
      </c>
      <c r="F135" s="129" t="s">
        <v>279</v>
      </c>
      <c r="G135" s="122" t="s">
        <v>214</v>
      </c>
      <c r="H135" s="146"/>
      <c r="I135" s="146"/>
      <c r="J135" s="146"/>
      <c r="K135" s="149"/>
      <c r="L135" s="149"/>
      <c r="M135" s="149" t="s">
        <v>340</v>
      </c>
      <c r="N135" s="149"/>
      <c r="O135" s="151"/>
      <c r="P135" s="151"/>
      <c r="Q135" s="151"/>
      <c r="R135" s="206"/>
    </row>
    <row r="136" spans="1:18" x14ac:dyDescent="0.45">
      <c r="A136" s="188"/>
      <c r="B136" s="146" t="s">
        <v>345</v>
      </c>
      <c r="C136" s="122" t="s">
        <v>118</v>
      </c>
      <c r="D136" s="122" t="s">
        <v>316</v>
      </c>
      <c r="E136" s="129">
        <v>3</v>
      </c>
      <c r="F136" s="129" t="s">
        <v>279</v>
      </c>
      <c r="G136" s="122" t="s">
        <v>317</v>
      </c>
      <c r="H136" s="151"/>
      <c r="I136" s="146"/>
      <c r="J136" s="151"/>
      <c r="K136" s="149"/>
      <c r="L136" s="149"/>
      <c r="M136" s="149"/>
      <c r="N136" s="149" t="s">
        <v>340</v>
      </c>
      <c r="O136" s="151"/>
      <c r="P136" s="151"/>
      <c r="Q136" s="151"/>
      <c r="R136" s="206"/>
    </row>
    <row r="137" spans="1:18" x14ac:dyDescent="0.45">
      <c r="A137" s="188"/>
      <c r="B137" s="146" t="s">
        <v>346</v>
      </c>
      <c r="C137" s="152" t="s">
        <v>111</v>
      </c>
      <c r="D137" s="152" t="s">
        <v>301</v>
      </c>
      <c r="E137" s="153">
        <v>3</v>
      </c>
      <c r="F137" s="153" t="s">
        <v>279</v>
      </c>
      <c r="G137" s="152" t="s">
        <v>298</v>
      </c>
      <c r="H137" s="146"/>
      <c r="I137" s="151"/>
      <c r="J137" s="146"/>
      <c r="K137" s="149"/>
      <c r="L137" s="149"/>
      <c r="M137" s="149"/>
      <c r="N137" s="149" t="s">
        <v>340</v>
      </c>
      <c r="O137" s="151"/>
      <c r="P137" s="151"/>
      <c r="Q137" s="151"/>
      <c r="R137" s="206"/>
    </row>
    <row r="138" spans="1:18" x14ac:dyDescent="0.45">
      <c r="A138" s="188"/>
      <c r="B138" s="146" t="s">
        <v>344</v>
      </c>
      <c r="C138" s="122" t="s">
        <v>77</v>
      </c>
      <c r="D138" s="122" t="s">
        <v>275</v>
      </c>
      <c r="E138" s="129">
        <v>3</v>
      </c>
      <c r="F138" s="129" t="s">
        <v>229</v>
      </c>
      <c r="G138" s="122" t="s">
        <v>250</v>
      </c>
      <c r="H138" s="151"/>
      <c r="I138" s="146"/>
      <c r="J138" s="151"/>
      <c r="K138" s="149"/>
      <c r="L138" s="149"/>
      <c r="M138" s="149"/>
      <c r="N138" s="149" t="s">
        <v>340</v>
      </c>
      <c r="O138" s="151"/>
      <c r="P138" s="151"/>
      <c r="Q138" s="151"/>
      <c r="R138" s="206"/>
    </row>
    <row r="139" spans="1:18" x14ac:dyDescent="0.45">
      <c r="A139" s="188"/>
      <c r="B139" s="146" t="s">
        <v>345</v>
      </c>
      <c r="C139" s="152"/>
      <c r="D139" s="152"/>
      <c r="E139" s="152"/>
      <c r="F139" s="152"/>
      <c r="G139" s="152"/>
      <c r="H139" s="146"/>
      <c r="I139" s="151"/>
      <c r="J139" s="146"/>
      <c r="K139" s="149"/>
      <c r="L139" s="149"/>
      <c r="M139" s="149"/>
      <c r="N139" s="149"/>
      <c r="O139" s="146" t="s">
        <v>340</v>
      </c>
      <c r="P139" s="151"/>
      <c r="Q139" s="151"/>
      <c r="R139" s="206"/>
    </row>
    <row r="140" spans="1:18" x14ac:dyDescent="0.45">
      <c r="A140" s="188"/>
      <c r="B140" s="146" t="s">
        <v>346</v>
      </c>
      <c r="C140" s="152"/>
      <c r="D140" s="152"/>
      <c r="E140" s="152"/>
      <c r="F140" s="152"/>
      <c r="G140" s="152"/>
      <c r="H140" s="146"/>
      <c r="I140" s="151"/>
      <c r="J140" s="146"/>
      <c r="K140" s="149"/>
      <c r="L140" s="149"/>
      <c r="M140" s="149"/>
      <c r="N140" s="149"/>
      <c r="O140" s="146" t="s">
        <v>340</v>
      </c>
      <c r="P140" s="151"/>
      <c r="Q140" s="151"/>
      <c r="R140" s="206"/>
    </row>
    <row r="141" spans="1:18" x14ac:dyDescent="0.45">
      <c r="A141" s="188"/>
      <c r="B141" s="146" t="s">
        <v>344</v>
      </c>
      <c r="C141" s="152"/>
      <c r="D141" s="152"/>
      <c r="E141" s="152"/>
      <c r="F141" s="152"/>
      <c r="G141" s="152"/>
      <c r="H141" s="146"/>
      <c r="I141" s="151"/>
      <c r="J141" s="146"/>
      <c r="K141" s="149"/>
      <c r="L141" s="149"/>
      <c r="M141" s="149"/>
      <c r="N141" s="149"/>
      <c r="O141" s="146" t="s">
        <v>340</v>
      </c>
      <c r="P141" s="151"/>
      <c r="Q141" s="151"/>
      <c r="R141" s="206"/>
    </row>
    <row r="142" spans="1:18" x14ac:dyDescent="0.45">
      <c r="A142" s="188"/>
      <c r="B142" s="146" t="s">
        <v>345</v>
      </c>
      <c r="C142" s="152"/>
      <c r="D142" s="152"/>
      <c r="E142" s="152"/>
      <c r="F142" s="152"/>
      <c r="G142" s="152"/>
      <c r="H142" s="151"/>
      <c r="I142" s="151"/>
      <c r="J142" s="151"/>
      <c r="K142" s="149"/>
      <c r="L142" s="149"/>
      <c r="M142" s="150"/>
      <c r="N142" s="149"/>
      <c r="O142" s="152"/>
      <c r="P142" s="146" t="s">
        <v>340</v>
      </c>
      <c r="Q142" s="151"/>
      <c r="R142" s="206"/>
    </row>
    <row r="143" spans="1:18" x14ac:dyDescent="0.45">
      <c r="A143" s="188"/>
      <c r="B143" s="146" t="s">
        <v>346</v>
      </c>
      <c r="C143" s="152"/>
      <c r="D143" s="152"/>
      <c r="E143" s="152"/>
      <c r="F143" s="152"/>
      <c r="G143" s="152"/>
      <c r="H143" s="151"/>
      <c r="I143" s="151"/>
      <c r="J143" s="151"/>
      <c r="K143" s="149"/>
      <c r="L143" s="149"/>
      <c r="M143" s="150"/>
      <c r="N143" s="149"/>
      <c r="O143" s="152"/>
      <c r="P143" s="146" t="s">
        <v>340</v>
      </c>
      <c r="Q143" s="151"/>
      <c r="R143" s="206"/>
    </row>
    <row r="144" spans="1:18" x14ac:dyDescent="0.45">
      <c r="A144" s="188"/>
      <c r="B144" s="146" t="s">
        <v>344</v>
      </c>
      <c r="C144" s="152"/>
      <c r="D144" s="152"/>
      <c r="E144" s="152"/>
      <c r="F144" s="152"/>
      <c r="G144" s="152"/>
      <c r="H144" s="151"/>
      <c r="I144" s="151"/>
      <c r="J144" s="151"/>
      <c r="K144" s="149"/>
      <c r="L144" s="149"/>
      <c r="M144" s="150"/>
      <c r="N144" s="149"/>
      <c r="O144" s="152"/>
      <c r="P144" s="146" t="s">
        <v>340</v>
      </c>
      <c r="Q144" s="151"/>
      <c r="R144" s="206"/>
    </row>
    <row r="145" spans="1:18" x14ac:dyDescent="0.45">
      <c r="A145" s="188"/>
      <c r="B145" s="146" t="s">
        <v>339</v>
      </c>
      <c r="C145" s="146"/>
      <c r="D145" s="151" t="s">
        <v>361</v>
      </c>
      <c r="E145" s="146">
        <v>1</v>
      </c>
      <c r="F145" s="146" t="s">
        <v>159</v>
      </c>
      <c r="G145" s="146" t="s">
        <v>308</v>
      </c>
      <c r="H145" s="151"/>
      <c r="I145" s="151"/>
      <c r="J145" s="151"/>
      <c r="K145" s="149"/>
      <c r="L145" s="149"/>
      <c r="M145" s="150"/>
      <c r="N145" s="149"/>
      <c r="O145" s="151"/>
      <c r="P145" s="151"/>
      <c r="Q145" s="146" t="s">
        <v>340</v>
      </c>
      <c r="R145" s="206"/>
    </row>
    <row r="146" spans="1:18" x14ac:dyDescent="0.45">
      <c r="A146" s="188"/>
      <c r="B146" s="146" t="s">
        <v>354</v>
      </c>
      <c r="C146" s="146"/>
      <c r="D146" s="151" t="s">
        <v>361</v>
      </c>
      <c r="E146" s="146">
        <v>1</v>
      </c>
      <c r="F146" s="146" t="s">
        <v>159</v>
      </c>
      <c r="G146" s="146" t="s">
        <v>308</v>
      </c>
      <c r="H146" s="151"/>
      <c r="I146" s="151"/>
      <c r="J146" s="151"/>
      <c r="K146" s="149"/>
      <c r="L146" s="149"/>
      <c r="M146" s="150"/>
      <c r="N146" s="149"/>
      <c r="O146" s="151"/>
      <c r="P146" s="151"/>
      <c r="Q146" s="146" t="s">
        <v>340</v>
      </c>
      <c r="R146" s="206"/>
    </row>
    <row r="147" spans="1:18" x14ac:dyDescent="0.45">
      <c r="A147" s="188"/>
      <c r="B147" s="146" t="s">
        <v>362</v>
      </c>
      <c r="C147" s="146"/>
      <c r="D147" s="151" t="s">
        <v>361</v>
      </c>
      <c r="E147" s="146">
        <v>1</v>
      </c>
      <c r="F147" s="146" t="s">
        <v>159</v>
      </c>
      <c r="G147" s="146" t="s">
        <v>308</v>
      </c>
      <c r="H147" s="151"/>
      <c r="I147" s="151"/>
      <c r="J147" s="151"/>
      <c r="K147" s="149"/>
      <c r="L147" s="149"/>
      <c r="M147" s="150"/>
      <c r="N147" s="149"/>
      <c r="O147" s="151"/>
      <c r="P147" s="151"/>
      <c r="Q147" s="146" t="s">
        <v>340</v>
      </c>
      <c r="R147" s="206"/>
    </row>
    <row r="148" spans="1:18" x14ac:dyDescent="0.45">
      <c r="A148" s="188"/>
      <c r="B148" s="146" t="s">
        <v>354</v>
      </c>
      <c r="C148" s="146"/>
      <c r="D148" s="177" t="s">
        <v>363</v>
      </c>
      <c r="E148" s="146">
        <v>2</v>
      </c>
      <c r="F148" s="146" t="s">
        <v>159</v>
      </c>
      <c r="G148" s="146" t="s">
        <v>160</v>
      </c>
      <c r="H148" s="151"/>
      <c r="I148" s="151"/>
      <c r="J148" s="151"/>
      <c r="K148" s="149"/>
      <c r="L148" s="149"/>
      <c r="M148" s="150"/>
      <c r="N148" s="149"/>
      <c r="O148" s="151"/>
      <c r="P148" s="151"/>
      <c r="Q148" s="146" t="s">
        <v>340</v>
      </c>
      <c r="R148" s="206"/>
    </row>
    <row r="149" spans="1:18" x14ac:dyDescent="0.45">
      <c r="A149" s="188"/>
      <c r="B149" s="146" t="s">
        <v>362</v>
      </c>
      <c r="C149" s="146"/>
      <c r="D149" s="177" t="s">
        <v>363</v>
      </c>
      <c r="E149" s="146">
        <v>2</v>
      </c>
      <c r="F149" s="146" t="s">
        <v>159</v>
      </c>
      <c r="G149" s="146" t="s">
        <v>160</v>
      </c>
      <c r="H149" s="151"/>
      <c r="I149" s="151"/>
      <c r="J149" s="151"/>
      <c r="K149" s="149"/>
      <c r="L149" s="149"/>
      <c r="M149" s="150"/>
      <c r="N149" s="149"/>
      <c r="O149" s="151"/>
      <c r="P149" s="151"/>
      <c r="Q149" s="146" t="s">
        <v>340</v>
      </c>
      <c r="R149" s="206"/>
    </row>
    <row r="150" spans="1:18" x14ac:dyDescent="0.45">
      <c r="A150" s="188"/>
      <c r="B150" s="160" t="s">
        <v>349</v>
      </c>
      <c r="C150" s="160"/>
      <c r="D150" s="182" t="s">
        <v>363</v>
      </c>
      <c r="E150" s="160">
        <v>2</v>
      </c>
      <c r="F150" s="160" t="s">
        <v>159</v>
      </c>
      <c r="G150" s="160" t="s">
        <v>160</v>
      </c>
      <c r="H150" s="157"/>
      <c r="I150" s="157"/>
      <c r="J150" s="157"/>
      <c r="K150" s="158"/>
      <c r="L150" s="158"/>
      <c r="M150" s="159"/>
      <c r="N150" s="158"/>
      <c r="O150" s="157"/>
      <c r="P150" s="157"/>
      <c r="Q150" s="160" t="s">
        <v>340</v>
      </c>
      <c r="R150" s="206"/>
    </row>
    <row r="151" spans="1:18" x14ac:dyDescent="0.45">
      <c r="A151" s="188"/>
      <c r="B151" s="163" t="s">
        <v>357</v>
      </c>
      <c r="C151" s="183"/>
      <c r="D151" s="183"/>
      <c r="E151" s="183"/>
      <c r="F151" s="183"/>
      <c r="G151" s="183"/>
      <c r="H151" s="194" t="s">
        <v>347</v>
      </c>
      <c r="I151" s="194"/>
      <c r="J151" s="194"/>
      <c r="K151" s="194"/>
      <c r="L151" s="194"/>
      <c r="M151" s="194"/>
      <c r="N151" s="194"/>
      <c r="O151" s="194"/>
      <c r="P151" s="194"/>
      <c r="Q151" s="194"/>
      <c r="R151" s="206"/>
    </row>
    <row r="152" spans="1:18" x14ac:dyDescent="0.45">
      <c r="A152" s="188"/>
      <c r="B152" s="146" t="s">
        <v>348</v>
      </c>
      <c r="C152" s="152" t="s">
        <v>104</v>
      </c>
      <c r="D152" s="152" t="s">
        <v>281</v>
      </c>
      <c r="E152" s="153">
        <v>2</v>
      </c>
      <c r="F152" s="153" t="s">
        <v>279</v>
      </c>
      <c r="G152" s="152" t="s">
        <v>282</v>
      </c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206" t="s">
        <v>340</v>
      </c>
    </row>
    <row r="153" spans="1:18" x14ac:dyDescent="0.45">
      <c r="A153" s="188"/>
      <c r="B153" s="146" t="s">
        <v>349</v>
      </c>
      <c r="C153" s="152" t="s">
        <v>104</v>
      </c>
      <c r="D153" s="152" t="s">
        <v>283</v>
      </c>
      <c r="E153" s="153">
        <v>2</v>
      </c>
      <c r="F153" s="153" t="s">
        <v>279</v>
      </c>
      <c r="G153" s="152" t="s">
        <v>282</v>
      </c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206" t="s">
        <v>340</v>
      </c>
    </row>
    <row r="154" spans="1:18" x14ac:dyDescent="0.45">
      <c r="A154" s="188"/>
      <c r="B154" s="160" t="s">
        <v>350</v>
      </c>
      <c r="C154" s="184" t="s">
        <v>104</v>
      </c>
      <c r="D154" s="184" t="s">
        <v>284</v>
      </c>
      <c r="E154" s="185">
        <v>2</v>
      </c>
      <c r="F154" s="185" t="s">
        <v>279</v>
      </c>
      <c r="G154" s="184" t="s">
        <v>282</v>
      </c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206" t="s">
        <v>340</v>
      </c>
    </row>
    <row r="157" spans="1:18" x14ac:dyDescent="0.45">
      <c r="A157" s="190" t="s">
        <v>326</v>
      </c>
      <c r="B157" s="191" t="s">
        <v>327</v>
      </c>
      <c r="C157" s="191" t="s">
        <v>328</v>
      </c>
      <c r="D157" s="191" t="s">
        <v>329</v>
      </c>
      <c r="E157" s="191" t="s">
        <v>6</v>
      </c>
      <c r="F157" s="191" t="s">
        <v>330</v>
      </c>
      <c r="G157" s="191" t="s">
        <v>351</v>
      </c>
      <c r="H157" s="186"/>
      <c r="I157" s="186"/>
      <c r="J157" s="186"/>
      <c r="K157" s="186"/>
      <c r="L157" s="186"/>
      <c r="M157" s="186"/>
      <c r="N157" s="186"/>
      <c r="O157" s="186"/>
      <c r="P157" s="186"/>
    </row>
    <row r="158" spans="1:18" x14ac:dyDescent="0.45">
      <c r="A158" s="190"/>
      <c r="B158" s="191"/>
      <c r="C158" s="191"/>
      <c r="D158" s="191"/>
      <c r="E158" s="191"/>
      <c r="F158" s="191"/>
      <c r="G158" s="191"/>
      <c r="H158" s="186" t="s">
        <v>331</v>
      </c>
      <c r="I158" s="186"/>
      <c r="J158" s="186"/>
      <c r="K158" s="186" t="s">
        <v>332</v>
      </c>
      <c r="L158" s="186"/>
      <c r="M158" s="186"/>
      <c r="N158" s="186"/>
      <c r="O158" s="187" t="s">
        <v>352</v>
      </c>
      <c r="P158" s="187"/>
    </row>
    <row r="159" spans="1:18" x14ac:dyDescent="0.45">
      <c r="A159" s="190"/>
      <c r="B159" s="191"/>
      <c r="C159" s="191"/>
      <c r="D159" s="191"/>
      <c r="E159" s="191"/>
      <c r="F159" s="191"/>
      <c r="G159" s="191"/>
      <c r="H159" s="143">
        <v>2</v>
      </c>
      <c r="I159" s="143">
        <v>3</v>
      </c>
      <c r="J159" s="143">
        <v>4</v>
      </c>
      <c r="K159" s="143" t="s">
        <v>334</v>
      </c>
      <c r="L159" s="143" t="s">
        <v>159</v>
      </c>
      <c r="M159" s="143" t="s">
        <v>335</v>
      </c>
      <c r="N159" s="143" t="s">
        <v>229</v>
      </c>
      <c r="O159" s="144" t="s">
        <v>334</v>
      </c>
      <c r="P159" s="145" t="s">
        <v>159</v>
      </c>
    </row>
    <row r="160" spans="1:18" ht="13.5" customHeight="1" x14ac:dyDescent="0.45">
      <c r="A160" s="188" t="s">
        <v>364</v>
      </c>
      <c r="B160" s="146" t="s">
        <v>365</v>
      </c>
      <c r="C160" s="122" t="s">
        <v>64</v>
      </c>
      <c r="D160" s="122" t="s">
        <v>234</v>
      </c>
      <c r="E160" s="129">
        <v>3</v>
      </c>
      <c r="F160" s="129" t="s">
        <v>229</v>
      </c>
      <c r="G160" s="122" t="s">
        <v>235</v>
      </c>
      <c r="H160" s="146" t="s">
        <v>340</v>
      </c>
      <c r="I160" s="146"/>
      <c r="J160" s="146"/>
      <c r="K160" s="149"/>
      <c r="L160" s="149"/>
      <c r="M160" s="149"/>
      <c r="N160" s="149"/>
      <c r="O160" s="151"/>
      <c r="P160" s="151"/>
    </row>
    <row r="161" spans="1:16" x14ac:dyDescent="0.45">
      <c r="A161" s="188"/>
      <c r="B161" s="146" t="s">
        <v>366</v>
      </c>
      <c r="C161" s="163"/>
      <c r="D161" s="152"/>
      <c r="E161" s="163"/>
      <c r="F161" s="163"/>
      <c r="G161" s="152"/>
      <c r="H161" s="146" t="s">
        <v>340</v>
      </c>
      <c r="I161" s="146"/>
      <c r="J161" s="146"/>
      <c r="K161" s="149"/>
      <c r="L161" s="149"/>
      <c r="M161" s="150"/>
      <c r="N161" s="149"/>
      <c r="O161" s="151"/>
      <c r="P161" s="151"/>
    </row>
    <row r="162" spans="1:16" x14ac:dyDescent="0.45">
      <c r="A162" s="188"/>
      <c r="B162" s="146" t="s">
        <v>365</v>
      </c>
      <c r="C162" s="122" t="s">
        <v>66</v>
      </c>
      <c r="D162" s="122" t="s">
        <v>236</v>
      </c>
      <c r="E162" s="129">
        <v>3</v>
      </c>
      <c r="F162" s="129" t="s">
        <v>229</v>
      </c>
      <c r="G162" s="122" t="s">
        <v>237</v>
      </c>
      <c r="H162" s="151"/>
      <c r="I162" s="146" t="s">
        <v>340</v>
      </c>
      <c r="J162" s="146"/>
      <c r="K162" s="149"/>
      <c r="L162" s="149"/>
      <c r="M162" s="149"/>
      <c r="N162" s="149"/>
      <c r="O162" s="151"/>
      <c r="P162" s="151"/>
    </row>
    <row r="163" spans="1:16" x14ac:dyDescent="0.45">
      <c r="A163" s="188"/>
      <c r="B163" s="146" t="s">
        <v>366</v>
      </c>
      <c r="C163" s="122" t="s">
        <v>66</v>
      </c>
      <c r="D163" s="122" t="s">
        <v>240</v>
      </c>
      <c r="E163" s="130">
        <v>3</v>
      </c>
      <c r="F163" s="130" t="s">
        <v>229</v>
      </c>
      <c r="G163" s="122" t="s">
        <v>237</v>
      </c>
      <c r="H163" s="146"/>
      <c r="I163" s="146" t="s">
        <v>340</v>
      </c>
      <c r="J163" s="151"/>
      <c r="K163" s="149"/>
      <c r="L163" s="149"/>
      <c r="M163" s="149"/>
      <c r="N163" s="149"/>
      <c r="O163" s="151"/>
      <c r="P163" s="151"/>
    </row>
    <row r="164" spans="1:16" x14ac:dyDescent="0.45">
      <c r="A164" s="188"/>
      <c r="B164" s="146" t="s">
        <v>365</v>
      </c>
      <c r="C164" s="146"/>
      <c r="D164" s="151"/>
      <c r="E164" s="146"/>
      <c r="F164" s="146"/>
      <c r="G164" s="146"/>
      <c r="H164" s="146"/>
      <c r="I164" s="151"/>
      <c r="J164" s="146" t="s">
        <v>340</v>
      </c>
      <c r="K164" s="149"/>
      <c r="L164" s="149"/>
      <c r="M164" s="150"/>
      <c r="N164" s="149"/>
      <c r="O164" s="151"/>
      <c r="P164" s="151"/>
    </row>
    <row r="165" spans="1:16" x14ac:dyDescent="0.45">
      <c r="A165" s="188"/>
      <c r="B165" s="146" t="s">
        <v>366</v>
      </c>
      <c r="C165" s="146"/>
      <c r="D165" s="151"/>
      <c r="E165" s="146"/>
      <c r="F165" s="146"/>
      <c r="G165" s="146"/>
      <c r="H165" s="146"/>
      <c r="I165" s="151"/>
      <c r="J165" s="146" t="s">
        <v>340</v>
      </c>
      <c r="K165" s="149"/>
      <c r="L165" s="149"/>
      <c r="M165" s="149"/>
      <c r="N165" s="149"/>
      <c r="O165" s="151"/>
      <c r="P165" s="151"/>
    </row>
    <row r="166" spans="1:16" x14ac:dyDescent="0.45">
      <c r="A166" s="188"/>
      <c r="B166" s="146" t="s">
        <v>365</v>
      </c>
      <c r="C166" s="152" t="s">
        <v>111</v>
      </c>
      <c r="D166" s="152" t="s">
        <v>297</v>
      </c>
      <c r="E166" s="153">
        <v>3</v>
      </c>
      <c r="F166" s="153" t="s">
        <v>279</v>
      </c>
      <c r="G166" s="152" t="s">
        <v>298</v>
      </c>
      <c r="H166" s="146"/>
      <c r="I166" s="146"/>
      <c r="J166" s="151"/>
      <c r="K166" s="149" t="s">
        <v>340</v>
      </c>
      <c r="L166" s="149"/>
      <c r="M166" s="149"/>
      <c r="N166" s="149"/>
      <c r="O166" s="151"/>
      <c r="P166" s="151"/>
    </row>
    <row r="167" spans="1:16" x14ac:dyDescent="0.45">
      <c r="A167" s="188"/>
      <c r="B167" s="146" t="s">
        <v>366</v>
      </c>
      <c r="C167" s="152" t="s">
        <v>111</v>
      </c>
      <c r="D167" s="152" t="s">
        <v>299</v>
      </c>
      <c r="E167" s="153">
        <v>3</v>
      </c>
      <c r="F167" s="153" t="s">
        <v>279</v>
      </c>
      <c r="G167" s="152" t="s">
        <v>298</v>
      </c>
      <c r="H167" s="146"/>
      <c r="I167" s="146"/>
      <c r="J167" s="146"/>
      <c r="K167" s="149" t="s">
        <v>340</v>
      </c>
      <c r="L167" s="149"/>
      <c r="M167" s="149"/>
      <c r="N167" s="149"/>
      <c r="O167" s="151"/>
      <c r="P167" s="151"/>
    </row>
    <row r="168" spans="1:16" x14ac:dyDescent="0.45">
      <c r="A168" s="188"/>
      <c r="B168" s="146" t="s">
        <v>365</v>
      </c>
      <c r="C168" s="122" t="s">
        <v>75</v>
      </c>
      <c r="D168" s="122" t="s">
        <v>266</v>
      </c>
      <c r="E168" s="129">
        <v>3</v>
      </c>
      <c r="F168" s="129" t="s">
        <v>229</v>
      </c>
      <c r="G168" s="122" t="s">
        <v>265</v>
      </c>
      <c r="H168" s="151"/>
      <c r="I168" s="146"/>
      <c r="J168" s="146"/>
      <c r="K168" s="149"/>
      <c r="L168" s="149" t="s">
        <v>340</v>
      </c>
      <c r="M168" s="149"/>
      <c r="N168" s="149"/>
      <c r="O168" s="151"/>
      <c r="P168" s="151"/>
    </row>
    <row r="169" spans="1:16" x14ac:dyDescent="0.45">
      <c r="A169" s="188"/>
      <c r="B169" s="146" t="s">
        <v>366</v>
      </c>
      <c r="C169" s="122" t="s">
        <v>75</v>
      </c>
      <c r="D169" s="122" t="s">
        <v>267</v>
      </c>
      <c r="E169" s="129">
        <v>3</v>
      </c>
      <c r="F169" s="129" t="s">
        <v>229</v>
      </c>
      <c r="G169" s="122" t="s">
        <v>265</v>
      </c>
      <c r="H169" s="146"/>
      <c r="I169" s="146"/>
      <c r="J169" s="146"/>
      <c r="K169" s="149"/>
      <c r="L169" s="149" t="s">
        <v>340</v>
      </c>
      <c r="M169" s="149"/>
      <c r="N169" s="149"/>
      <c r="O169" s="151"/>
      <c r="P169" s="151"/>
    </row>
    <row r="170" spans="1:16" x14ac:dyDescent="0.45">
      <c r="A170" s="188"/>
      <c r="B170" s="146" t="s">
        <v>365</v>
      </c>
      <c r="C170" s="122" t="s">
        <v>73</v>
      </c>
      <c r="D170" s="122" t="s">
        <v>261</v>
      </c>
      <c r="E170" s="129">
        <v>3</v>
      </c>
      <c r="F170" s="129" t="s">
        <v>229</v>
      </c>
      <c r="G170" s="122" t="s">
        <v>262</v>
      </c>
      <c r="H170" s="151"/>
      <c r="I170" s="146"/>
      <c r="J170" s="146"/>
      <c r="K170" s="149"/>
      <c r="L170" s="149"/>
      <c r="M170" s="149" t="s">
        <v>340</v>
      </c>
      <c r="N170" s="149"/>
      <c r="O170" s="151"/>
      <c r="P170" s="151"/>
    </row>
    <row r="171" spans="1:16" x14ac:dyDescent="0.45">
      <c r="A171" s="188"/>
      <c r="B171" s="146" t="s">
        <v>366</v>
      </c>
      <c r="C171" s="122" t="s">
        <v>73</v>
      </c>
      <c r="D171" s="122" t="s">
        <v>263</v>
      </c>
      <c r="E171" s="129">
        <v>3</v>
      </c>
      <c r="F171" s="129" t="s">
        <v>229</v>
      </c>
      <c r="G171" s="122" t="s">
        <v>262</v>
      </c>
      <c r="H171" s="146"/>
      <c r="I171" s="151"/>
      <c r="J171" s="151"/>
      <c r="K171" s="149"/>
      <c r="L171" s="149"/>
      <c r="M171" s="149" t="s">
        <v>340</v>
      </c>
      <c r="N171" s="149"/>
      <c r="O171" s="151"/>
      <c r="P171" s="151"/>
    </row>
    <row r="172" spans="1:16" x14ac:dyDescent="0.45">
      <c r="A172" s="188"/>
      <c r="B172" s="146" t="s">
        <v>365</v>
      </c>
      <c r="C172" s="122" t="s">
        <v>118</v>
      </c>
      <c r="D172" s="122" t="s">
        <v>319</v>
      </c>
      <c r="E172" s="129">
        <v>3</v>
      </c>
      <c r="F172" s="129" t="s">
        <v>279</v>
      </c>
      <c r="G172" s="122" t="s">
        <v>317</v>
      </c>
      <c r="H172" s="151"/>
      <c r="I172" s="146"/>
      <c r="J172" s="151"/>
      <c r="K172" s="149"/>
      <c r="L172" s="149"/>
      <c r="M172" s="149"/>
      <c r="N172" s="149" t="s">
        <v>340</v>
      </c>
      <c r="O172" s="151"/>
      <c r="P172" s="151"/>
    </row>
    <row r="173" spans="1:16" x14ac:dyDescent="0.45">
      <c r="A173" s="188"/>
      <c r="B173" s="146" t="s">
        <v>366</v>
      </c>
      <c r="C173" s="122" t="s">
        <v>118</v>
      </c>
      <c r="D173" s="122" t="s">
        <v>320</v>
      </c>
      <c r="E173" s="129">
        <v>3</v>
      </c>
      <c r="F173" s="129" t="s">
        <v>279</v>
      </c>
      <c r="G173" s="122" t="s">
        <v>317</v>
      </c>
      <c r="H173" s="146"/>
      <c r="I173" s="151"/>
      <c r="J173" s="146"/>
      <c r="K173" s="149"/>
      <c r="L173" s="149"/>
      <c r="M173" s="149"/>
      <c r="N173" s="149" t="s">
        <v>340</v>
      </c>
      <c r="O173" s="151"/>
      <c r="P173" s="151"/>
    </row>
    <row r="174" spans="1:16" x14ac:dyDescent="0.45">
      <c r="A174" s="188"/>
      <c r="B174" s="146"/>
      <c r="C174" s="146"/>
      <c r="D174" s="177"/>
      <c r="E174" s="146"/>
      <c r="F174" s="146"/>
      <c r="G174" s="146"/>
      <c r="H174" s="151"/>
      <c r="I174" s="151"/>
      <c r="J174" s="151"/>
      <c r="K174" s="149"/>
      <c r="L174" s="149"/>
      <c r="M174" s="150"/>
      <c r="N174" s="149"/>
      <c r="O174" s="146" t="s">
        <v>340</v>
      </c>
      <c r="P174" s="151"/>
    </row>
    <row r="175" spans="1:16" x14ac:dyDescent="0.45">
      <c r="A175" s="188"/>
      <c r="B175" s="146"/>
      <c r="C175" s="146"/>
      <c r="D175" s="177"/>
      <c r="E175" s="146"/>
      <c r="F175" s="146"/>
      <c r="G175" s="146"/>
      <c r="H175" s="151"/>
      <c r="I175" s="151"/>
      <c r="J175" s="151"/>
      <c r="K175" s="149"/>
      <c r="L175" s="149"/>
      <c r="M175" s="150"/>
      <c r="N175" s="149"/>
      <c r="O175" s="146" t="s">
        <v>340</v>
      </c>
      <c r="P175" s="151"/>
    </row>
    <row r="176" spans="1:16" x14ac:dyDescent="0.45">
      <c r="A176" s="188"/>
      <c r="B176" s="146"/>
      <c r="C176" s="146"/>
      <c r="D176" s="177"/>
      <c r="E176" s="146"/>
      <c r="F176" s="146"/>
      <c r="G176" s="146"/>
      <c r="H176" s="151"/>
      <c r="I176" s="151"/>
      <c r="J176" s="151"/>
      <c r="K176" s="149"/>
      <c r="L176" s="149"/>
      <c r="M176" s="150"/>
      <c r="N176" s="149"/>
      <c r="O176" s="151"/>
      <c r="P176" s="146" t="s">
        <v>340</v>
      </c>
    </row>
    <row r="177" spans="1:16" x14ac:dyDescent="0.45">
      <c r="A177" s="188"/>
      <c r="B177" s="160"/>
      <c r="C177" s="160"/>
      <c r="D177" s="182"/>
      <c r="E177" s="160"/>
      <c r="F177" s="160"/>
      <c r="G177" s="160"/>
      <c r="H177" s="157"/>
      <c r="I177" s="157"/>
      <c r="J177" s="157"/>
      <c r="K177" s="158"/>
      <c r="L177" s="158"/>
      <c r="M177" s="159"/>
      <c r="N177" s="158"/>
      <c r="O177" s="157"/>
      <c r="P177" s="160" t="s">
        <v>340</v>
      </c>
    </row>
  </sheetData>
  <mergeCells count="66">
    <mergeCell ref="A160:A177"/>
    <mergeCell ref="A118:A154"/>
    <mergeCell ref="H151:Q154"/>
    <mergeCell ref="A157:A159"/>
    <mergeCell ref="B157:B159"/>
    <mergeCell ref="C157:C159"/>
    <mergeCell ref="D157:D159"/>
    <mergeCell ref="E157:E159"/>
    <mergeCell ref="F157:F159"/>
    <mergeCell ref="G157:G159"/>
    <mergeCell ref="H157:P157"/>
    <mergeCell ref="H158:J158"/>
    <mergeCell ref="K158:N158"/>
    <mergeCell ref="O158:P158"/>
    <mergeCell ref="A83:A112"/>
    <mergeCell ref="H110:P112"/>
    <mergeCell ref="A115:A117"/>
    <mergeCell ref="B115:B117"/>
    <mergeCell ref="C115:C117"/>
    <mergeCell ref="D115:D117"/>
    <mergeCell ref="E115:E117"/>
    <mergeCell ref="F115:F117"/>
    <mergeCell ref="G115:G117"/>
    <mergeCell ref="H115:Q115"/>
    <mergeCell ref="H116:J116"/>
    <mergeCell ref="K116:N116"/>
    <mergeCell ref="O116:P116"/>
    <mergeCell ref="A45:A76"/>
    <mergeCell ref="H74:P76"/>
    <mergeCell ref="A80:A82"/>
    <mergeCell ref="B80:B82"/>
    <mergeCell ref="C80:C82"/>
    <mergeCell ref="D80:D82"/>
    <mergeCell ref="E80:E82"/>
    <mergeCell ref="F80:F82"/>
    <mergeCell ref="G80:G82"/>
    <mergeCell ref="H80:P80"/>
    <mergeCell ref="H81:J81"/>
    <mergeCell ref="K81:N81"/>
    <mergeCell ref="O81:P81"/>
    <mergeCell ref="A7:A35"/>
    <mergeCell ref="H36:P39"/>
    <mergeCell ref="A42:A44"/>
    <mergeCell ref="B42:B44"/>
    <mergeCell ref="C42:C44"/>
    <mergeCell ref="D42:D44"/>
    <mergeCell ref="E42:E44"/>
    <mergeCell ref="F42:F44"/>
    <mergeCell ref="G42:G44"/>
    <mergeCell ref="H42:P42"/>
    <mergeCell ref="H43:J43"/>
    <mergeCell ref="K43:N43"/>
    <mergeCell ref="O43:P43"/>
    <mergeCell ref="A1:O1"/>
    <mergeCell ref="A2:O2"/>
    <mergeCell ref="A4:A6"/>
    <mergeCell ref="B4:B6"/>
    <mergeCell ref="C4:C6"/>
    <mergeCell ref="D4:D6"/>
    <mergeCell ref="E4:E6"/>
    <mergeCell ref="F4:F6"/>
    <mergeCell ref="G4:G6"/>
    <mergeCell ref="H4:P4"/>
    <mergeCell ref="H5:J5"/>
    <mergeCell ref="K5:N5"/>
    <mergeCell ref="O5:P5"/>
  </mergeCells>
  <pageMargins left="0.5" right="0.5" top="0.5" bottom="0.5" header="0.511811023622047" footer="0.511811023622047"/>
  <pageSetup paperSize="5" scale="8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2259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KURIKULUM KMMB SIA</vt:lpstr>
      <vt:lpstr>Sebaran Dosen dan MK</vt:lpstr>
      <vt:lpstr>ROSTER GENAP 2024-2025</vt:lpstr>
      <vt:lpstr>'ROSTER GENAP 2024-2025'!Print_Area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- [2010]</dc:creator>
  <dc:description/>
  <cp:lastModifiedBy>11</cp:lastModifiedBy>
  <cp:revision>437</cp:revision>
  <cp:lastPrinted>2024-12-24T12:38:52Z</cp:lastPrinted>
  <dcterms:created xsi:type="dcterms:W3CDTF">2020-06-29T17:22:36Z</dcterms:created>
  <dcterms:modified xsi:type="dcterms:W3CDTF">2025-09-04T13:59:05Z</dcterms:modified>
  <dc:language>id-ID</dc:language>
</cp:coreProperties>
</file>